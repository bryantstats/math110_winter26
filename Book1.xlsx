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u\Dropbox\git_backup\math110\"/>
    </mc:Choice>
  </mc:AlternateContent>
  <xr:revisionPtr revIDLastSave="0" documentId="13_ncr:1_{08139165-008B-49DA-AB3B-8F914D0F3A4F}" xr6:coauthVersionLast="47" xr6:coauthVersionMax="47" xr10:uidLastSave="{00000000-0000-0000-0000-000000000000}"/>
  <bookViews>
    <workbookView xWindow="-156" yWindow="-156" windowWidth="31032" windowHeight="17592" activeTab="4" xr2:uid="{C3CEAE92-BBC7-4F10-A170-47154233B770}"/>
  </bookViews>
  <sheets>
    <sheet name="Sheet1" sheetId="1" r:id="rId1"/>
    <sheet name="Assignment3" sheetId="2" r:id="rId2"/>
    <sheet name="Assignment 5" sheetId="3" r:id="rId3"/>
    <sheet name="Sheet4" sheetId="4" r:id="rId4"/>
    <sheet name="DirectTVCase Stud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5" l="1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4" i="5"/>
  <c r="I2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4" i="5"/>
  <c r="O5" i="5"/>
  <c r="O8" i="5"/>
  <c r="O13" i="5"/>
  <c r="O16" i="5"/>
  <c r="O21" i="5"/>
  <c r="N5" i="5"/>
  <c r="N8" i="5"/>
  <c r="N10" i="5"/>
  <c r="O10" i="5" s="1"/>
  <c r="N13" i="5"/>
  <c r="N14" i="5"/>
  <c r="O14" i="5" s="1"/>
  <c r="N16" i="5"/>
  <c r="N18" i="5"/>
  <c r="O18" i="5" s="1"/>
  <c r="N21" i="5"/>
  <c r="N22" i="5"/>
  <c r="O22" i="5" s="1"/>
  <c r="M5" i="5"/>
  <c r="M6" i="5"/>
  <c r="N6" i="5" s="1"/>
  <c r="O6" i="5" s="1"/>
  <c r="M7" i="5"/>
  <c r="N7" i="5" s="1"/>
  <c r="O7" i="5" s="1"/>
  <c r="M8" i="5"/>
  <c r="M9" i="5"/>
  <c r="N9" i="5" s="1"/>
  <c r="O9" i="5" s="1"/>
  <c r="M10" i="5"/>
  <c r="M11" i="5"/>
  <c r="N11" i="5" s="1"/>
  <c r="O11" i="5" s="1"/>
  <c r="M12" i="5"/>
  <c r="N12" i="5" s="1"/>
  <c r="O12" i="5" s="1"/>
  <c r="M13" i="5"/>
  <c r="M14" i="5"/>
  <c r="M15" i="5"/>
  <c r="N15" i="5" s="1"/>
  <c r="O15" i="5" s="1"/>
  <c r="M16" i="5"/>
  <c r="M17" i="5"/>
  <c r="N17" i="5" s="1"/>
  <c r="O17" i="5" s="1"/>
  <c r="M18" i="5"/>
  <c r="M19" i="5"/>
  <c r="N19" i="5" s="1"/>
  <c r="O19" i="5" s="1"/>
  <c r="M20" i="5"/>
  <c r="N20" i="5" s="1"/>
  <c r="O20" i="5" s="1"/>
  <c r="M21" i="5"/>
  <c r="M22" i="5"/>
  <c r="M4" i="5"/>
  <c r="N4" i="5" s="1"/>
  <c r="O4" i="5" s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4" i="5"/>
  <c r="K32" i="5"/>
  <c r="L32" i="5" s="1"/>
  <c r="K34" i="5"/>
  <c r="L34" i="5" s="1"/>
  <c r="K36" i="5"/>
  <c r="L36" i="5" s="1"/>
  <c r="L31" i="5"/>
  <c r="L33" i="5"/>
  <c r="L35" i="5"/>
  <c r="L37" i="5"/>
  <c r="L38" i="5"/>
  <c r="L29" i="5"/>
  <c r="K30" i="5"/>
  <c r="L30" i="5" s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4" i="5"/>
  <c r="B30" i="5"/>
  <c r="B31" i="5"/>
  <c r="B32" i="5"/>
  <c r="B33" i="5"/>
  <c r="B34" i="5"/>
  <c r="B35" i="5"/>
  <c r="B36" i="5"/>
  <c r="B37" i="5"/>
  <c r="B38" i="5"/>
  <c r="B29" i="5"/>
  <c r="E30" i="5"/>
  <c r="E31" i="5"/>
  <c r="E32" i="5"/>
  <c r="E33" i="5"/>
  <c r="E34" i="5"/>
  <c r="E35" i="5"/>
  <c r="E36" i="5"/>
  <c r="E37" i="5"/>
  <c r="E38" i="5"/>
  <c r="E29" i="5"/>
  <c r="E5" i="5"/>
  <c r="E6" i="5"/>
  <c r="G6" i="5" s="1"/>
  <c r="H6" i="5" s="1"/>
  <c r="E7" i="5"/>
  <c r="E8" i="5"/>
  <c r="E9" i="5"/>
  <c r="E10" i="5"/>
  <c r="E11" i="5"/>
  <c r="E12" i="5"/>
  <c r="E13" i="5"/>
  <c r="E14" i="5"/>
  <c r="G14" i="5" s="1"/>
  <c r="H14" i="5" s="1"/>
  <c r="E15" i="5"/>
  <c r="E16" i="5"/>
  <c r="E17" i="5"/>
  <c r="E18" i="5"/>
  <c r="E19" i="5"/>
  <c r="E20" i="5"/>
  <c r="E21" i="5"/>
  <c r="E22" i="5"/>
  <c r="G22" i="5" s="1"/>
  <c r="H22" i="5" s="1"/>
  <c r="E4" i="5"/>
  <c r="B23" i="3"/>
  <c r="B24" i="3"/>
  <c r="O24" i="5" l="1"/>
  <c r="G20" i="5"/>
  <c r="H20" i="5" s="1"/>
  <c r="G12" i="5"/>
  <c r="H12" i="5" s="1"/>
  <c r="G19" i="5"/>
  <c r="H19" i="5" s="1"/>
  <c r="G10" i="5"/>
  <c r="H10" i="5" s="1"/>
  <c r="G11" i="5"/>
  <c r="H11" i="5" s="1"/>
  <c r="G18" i="5"/>
  <c r="H18" i="5" s="1"/>
  <c r="G17" i="5"/>
  <c r="H17" i="5" s="1"/>
  <c r="G9" i="5"/>
  <c r="H9" i="5" s="1"/>
  <c r="G16" i="5"/>
  <c r="H16" i="5" s="1"/>
  <c r="G8" i="5"/>
  <c r="H8" i="5" s="1"/>
  <c r="G21" i="5"/>
  <c r="H21" i="5" s="1"/>
  <c r="G13" i="5"/>
  <c r="H13" i="5" s="1"/>
  <c r="G5" i="5"/>
  <c r="H5" i="5" s="1"/>
  <c r="G4" i="5"/>
  <c r="H4" i="5" s="1"/>
  <c r="G15" i="5"/>
  <c r="H15" i="5" s="1"/>
  <c r="G7" i="5"/>
  <c r="H7" i="5" s="1"/>
  <c r="H24" i="5" l="1"/>
  <c r="E4" i="3" l="1"/>
  <c r="E5" i="3"/>
  <c r="E6" i="3"/>
  <c r="E7" i="3"/>
  <c r="E3" i="3"/>
  <c r="D4" i="3"/>
  <c r="D5" i="3"/>
  <c r="D6" i="3"/>
  <c r="D7" i="3"/>
  <c r="D3" i="3"/>
  <c r="C4" i="3"/>
  <c r="C5" i="3"/>
  <c r="C6" i="3"/>
  <c r="C7" i="3"/>
  <c r="C3" i="3"/>
  <c r="E4" i="2"/>
  <c r="E3" i="2"/>
  <c r="D4" i="2"/>
  <c r="D5" i="2"/>
  <c r="E5" i="2" s="1"/>
  <c r="D6" i="2"/>
  <c r="E6" i="2" s="1"/>
  <c r="B10" i="2" s="1"/>
  <c r="D3" i="2"/>
  <c r="C4" i="2"/>
  <c r="C5" i="2"/>
  <c r="C6" i="2"/>
  <c r="C3" i="2"/>
  <c r="B2" i="2"/>
  <c r="B14" i="1"/>
  <c r="B9" i="1"/>
  <c r="E4" i="1"/>
  <c r="E5" i="1"/>
  <c r="E3" i="1"/>
  <c r="D4" i="1"/>
  <c r="D5" i="1"/>
  <c r="D3" i="1"/>
  <c r="C4" i="1"/>
  <c r="C5" i="1"/>
  <c r="C3" i="1"/>
</calcChain>
</file>

<file path=xl/sharedStrings.xml><?xml version="1.0" encoding="utf-8"?>
<sst xmlns="http://schemas.openxmlformats.org/spreadsheetml/2006/main" count="93" uniqueCount="70">
  <si>
    <t>Employee Turnover</t>
  </si>
  <si>
    <t>Cost</t>
  </si>
  <si>
    <t>Change in E</t>
  </si>
  <si>
    <t>Change in C</t>
  </si>
  <si>
    <t>Rate of Change</t>
  </si>
  <si>
    <t>Slope</t>
  </si>
  <si>
    <t>Intercept</t>
  </si>
  <si>
    <t>Date</t>
  </si>
  <si>
    <t>Average Tuition</t>
  </si>
  <si>
    <t>Change in Date</t>
  </si>
  <si>
    <t>Change in Tuition</t>
  </si>
  <si>
    <t xml:space="preserve">Slope </t>
  </si>
  <si>
    <t>t</t>
  </si>
  <si>
    <t>Subscribers</t>
  </si>
  <si>
    <t>Change in t</t>
  </si>
  <si>
    <t>Change in 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</si>
  <si>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</si>
  <si>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</si>
  <si>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</si>
  <si>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</si>
  <si>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</si>
  <si>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</si>
  <si>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</si>
  <si>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</si>
  <si>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</si>
  <si>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</si>
  <si>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</si>
  <si>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</si>
  <si>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</si>
  <si>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</si>
  <si>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</si>
  <si>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</si>
  <si>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</si>
  <si>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</si>
  <si>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</si>
  <si>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</si>
  <si>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</si>
  <si>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</si>
  <si>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</si>
  <si>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</si>
  <si>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slope</t>
  </si>
  <si>
    <t>intercept</t>
  </si>
  <si>
    <t>t (since 1995)</t>
  </si>
  <si>
    <t>S</t>
  </si>
  <si>
    <t>Year</t>
  </si>
  <si>
    <t>Original Data</t>
  </si>
  <si>
    <t>Data 2</t>
  </si>
  <si>
    <t>Data 3</t>
  </si>
  <si>
    <t>Mean Absolute Error (MAE)</t>
  </si>
  <si>
    <t>Subscribers 
(millions)</t>
  </si>
  <si>
    <t>Year 
(since 1994)</t>
  </si>
  <si>
    <t>Estimated 
Subscribers</t>
  </si>
  <si>
    <t>Error of 
Estimation</t>
  </si>
  <si>
    <t>Absolute 
Error</t>
  </si>
  <si>
    <t>Error of
 Estimation</t>
  </si>
  <si>
    <t>Absolute
 Error</t>
  </si>
  <si>
    <t>Mean Absolute
 Error (MAE)</t>
  </si>
  <si>
    <t>This can be done in pair. If you want but could not find a partner, you can join a pair to have a team of 3</t>
  </si>
  <si>
    <t xml:space="preserve">1. Find a dataset and model the data by at least 2 linear models. </t>
  </si>
  <si>
    <t>2. Calculate the MAE of the models to decide the best model.</t>
  </si>
  <si>
    <t>3. Using the best model, to make some estimations/predictions</t>
  </si>
  <si>
    <t>4. Submit the Excel file to Canvas</t>
  </si>
  <si>
    <t>Case Study 1.</t>
  </si>
  <si>
    <t>Some ideas for Data</t>
  </si>
  <si>
    <t>World Temperature by years</t>
  </si>
  <si>
    <t>Houses Prices of California by years</t>
  </si>
  <si>
    <t>Houses Prices of some regions by years</t>
  </si>
  <si>
    <t>Car sales/prices by years</t>
  </si>
  <si>
    <t>College Tuition by years</t>
  </si>
  <si>
    <t>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</si>
</sst>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3" fontId="0" fillId="0" borderId="0" xfId="0" applyNumberFormat="1"/>
    <xf numFmtId="0" fontId="2" fillId="0" borderId="0" xfId="0" applyFont="1"/>
    <xf numFmtId="0" fontId="4" fillId="2" borderId="0" xfId="0" applyFont="1" applyFill="1" applyAlignment="1">
      <alignment horizontal="right"/>
    </xf>
    <xf numFmtId="0" fontId="0" fillId="2" borderId="0" xfId="0" applyFill="1"/>
    <xf numFmtId="0" fontId="4" fillId="2" borderId="3" xfId="0" applyFont="1" applyFill="1" applyBorder="1" applyAlignment="1">
      <alignment horizontal="right"/>
    </xf>
    <xf numFmtId="0" fontId="4" fillId="2" borderId="3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3" fontId="1" fillId="2" borderId="0" xfId="0" applyNumberFormat="1" applyFont="1" applyFill="1"/>
    <xf numFmtId="0" fontId="4" fillId="2" borderId="0" xfId="0" applyFont="1" applyFill="1" applyAlignment="1">
      <alignment wrapText="1"/>
    </xf>
    <xf numFmtId="0" fontId="4" fillId="2" borderId="0" xfId="0" applyFont="1" applyFill="1"/>
    <xf numFmtId="0" fontId="4" fillId="2" borderId="3" xfId="0" applyFont="1" applyFill="1" applyBorder="1" applyAlignment="1">
      <alignment wrapText="1"/>
    </xf>
    <xf numFmtId="0" fontId="0" fillId="3" borderId="0" xfId="0" applyFill="1"/>
    <xf numFmtId="3" fontId="0" fillId="3" borderId="0" xfId="0" applyNumberFormat="1" applyFill="1"/>
    <xf numFmtId="0" fontId="2" fillId="3" borderId="3" xfId="0" applyFont="1" applyFill="1" applyBorder="1" applyAlignment="1">
      <alignment horizontal="right"/>
    </xf>
    <xf numFmtId="0" fontId="0" fillId="3" borderId="3" xfId="0" applyFill="1" applyBorder="1"/>
    <xf numFmtId="3" fontId="0" fillId="3" borderId="3" xfId="0" applyNumberForma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5" fillId="4" borderId="3" xfId="0" applyFont="1" applyFill="1" applyBorder="1" applyAlignment="1">
      <alignment wrapText="1"/>
    </xf>
    <xf numFmtId="0" fontId="6" fillId="4" borderId="3" xfId="0" applyFont="1" applyFill="1" applyBorder="1"/>
    <xf numFmtId="0" fontId="2" fillId="4" borderId="0" xfId="0" applyFont="1" applyFill="1" applyAlignment="1">
      <alignment wrapText="1"/>
    </xf>
    <xf numFmtId="0" fontId="6" fillId="4" borderId="6" xfId="0" applyFont="1" applyFill="1" applyBorder="1"/>
    <xf numFmtId="0" fontId="6" fillId="4" borderId="7" xfId="0" applyFont="1" applyFill="1" applyBorder="1"/>
    <xf numFmtId="0" fontId="6" fillId="4" borderId="0" xfId="0" applyFont="1" applyFill="1"/>
    <xf numFmtId="0" fontId="1" fillId="4" borderId="0" xfId="0" applyFont="1" applyFill="1"/>
    <xf numFmtId="0" fontId="6" fillId="4" borderId="8" xfId="0" applyFont="1" applyFill="1" applyBorder="1"/>
    <xf numFmtId="0" fontId="6" fillId="4" borderId="9" xfId="0" applyFont="1" applyFill="1" applyBorder="1"/>
    <xf numFmtId="0" fontId="4" fillId="2" borderId="0" xfId="0" applyFont="1" applyFill="1" applyBorder="1" applyAlignment="1">
      <alignment wrapText="1"/>
    </xf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250</c:v>
                </c:pt>
                <c:pt idx="1">
                  <c:v>400</c:v>
                </c:pt>
                <c:pt idx="2">
                  <c:v>550</c:v>
                </c:pt>
                <c:pt idx="3">
                  <c:v>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BB-4719-81B6-30EC819E0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019792"/>
        <c:axId val="736305392"/>
      </c:scatterChart>
      <c:valAx>
        <c:axId val="93601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05392"/>
        <c:crosses val="autoZero"/>
        <c:crossBetween val="midCat"/>
      </c:valAx>
      <c:valAx>
        <c:axId val="73630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01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Assignment3!$B$1</c:f>
              <c:strCache>
                <c:ptCount val="1"/>
                <c:pt idx="0">
                  <c:v>Average Tuition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Assignment3!$A$2:$A$6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xVal>
          <c:yVal>
            <c:numRef>
              <c:f>Assignment3!$B$2:$B$6</c:f>
              <c:numCache>
                <c:formatCode>General</c:formatCode>
                <c:ptCount val="5"/>
                <c:pt idx="0">
                  <c:v>27870</c:v>
                </c:pt>
                <c:pt idx="1">
                  <c:v>29004</c:v>
                </c:pt>
                <c:pt idx="2">
                  <c:v>30138</c:v>
                </c:pt>
                <c:pt idx="3">
                  <c:v>31272</c:v>
                </c:pt>
                <c:pt idx="4">
                  <c:v>32406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EE-42BD-B6F3-6C44B64F1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304975"/>
        <c:axId val="1193792848"/>
      </c:scatterChart>
      <c:valAx>
        <c:axId val="105430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92848"/>
        <c:crosses val="autoZero"/>
        <c:crossBetween val="midCat"/>
      </c:valAx>
      <c:valAx>
        <c:axId val="119379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304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'Assignment 5'!$B$1</c:f>
              <c:strCache>
                <c:ptCount val="1"/>
                <c:pt idx="0">
                  <c:v>Subscribers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'Assignment 5'!$A$2:$A$7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16</c:v>
                </c:pt>
                <c:pt idx="5">
                  <c:v>19</c:v>
                </c:pt>
              </c:numCache>
            </c:numRef>
          </c:xVal>
          <c:yVal>
            <c:numRef>
              <c:f>'Assignment 5'!$B$2:$B$7</c:f>
              <c:numCache>
                <c:formatCode>General</c:formatCode>
                <c:ptCount val="6"/>
                <c:pt idx="0">
                  <c:v>1.2</c:v>
                </c:pt>
                <c:pt idx="1">
                  <c:v>6.68</c:v>
                </c:pt>
                <c:pt idx="2">
                  <c:v>11.18</c:v>
                </c:pt>
                <c:pt idx="3">
                  <c:v>13</c:v>
                </c:pt>
                <c:pt idx="4">
                  <c:v>19.89</c:v>
                </c:pt>
                <c:pt idx="5">
                  <c:v>20.350000000000001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C-44AA-A5C1-E3950CEC3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843040"/>
        <c:axId val="736294976"/>
      </c:scatterChart>
      <c:valAx>
        <c:axId val="94284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94976"/>
        <c:crosses val="autoZero"/>
        <c:crossBetween val="midCat"/>
      </c:valAx>
      <c:valAx>
        <c:axId val="7362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4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'Assignment 5'!$B$1</c:f>
              <c:strCache>
                <c:ptCount val="1"/>
                <c:pt idx="0">
                  <c:v>Subscribers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'Assignment 5'!$A$2:$A$7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16</c:v>
                </c:pt>
                <c:pt idx="5">
                  <c:v>19</c:v>
                </c:pt>
              </c:numCache>
            </c:numRef>
          </c:xVal>
          <c:yVal>
            <c:numRef>
              <c:f>'Assignment 5'!$B$2:$B$7</c:f>
              <c:numCache>
                <c:formatCode>General</c:formatCode>
                <c:ptCount val="6"/>
                <c:pt idx="0">
                  <c:v>1.2</c:v>
                </c:pt>
                <c:pt idx="1">
                  <c:v>6.68</c:v>
                </c:pt>
                <c:pt idx="2">
                  <c:v>11.18</c:v>
                </c:pt>
                <c:pt idx="3">
                  <c:v>13</c:v>
                </c:pt>
                <c:pt idx="4">
                  <c:v>19.89</c:v>
                </c:pt>
                <c:pt idx="5">
                  <c:v>20.350000000000001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E3-4358-8D7D-A90A32104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49872"/>
        <c:axId val="187847472"/>
      </c:scatterChart>
      <c:valAx>
        <c:axId val="18784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7472"/>
        <c:crosses val="autoZero"/>
        <c:crossBetween val="midCat"/>
      </c:valAx>
      <c:valAx>
        <c:axId val="1878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'DirectTVCase Study'!$B$3</c:f>
              <c:strCache>
                <c:ptCount val="1"/>
                <c:pt idx="0">
                  <c:v>Subscribers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'DirectTVCase Study'!$A$4:$A$22</c:f>
              <c:numCache>
                <c:formatCode>General</c:formatCode>
                <c:ptCount val="19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2012</c:v>
                </c:pt>
                <c:pt idx="18">
                  <c:v>2014</c:v>
                </c:pt>
              </c:numCache>
            </c:numRef>
          </c:xVal>
          <c:yVal>
            <c:numRef>
              <c:f>'DirectTVCase Study'!$B$4:$B$22</c:f>
              <c:numCache>
                <c:formatCode>#,##0</c:formatCode>
                <c:ptCount val="19"/>
                <c:pt idx="0">
                  <c:v>320000</c:v>
                </c:pt>
                <c:pt idx="1">
                  <c:v>1200000</c:v>
                </c:pt>
                <c:pt idx="2">
                  <c:v>2300000</c:v>
                </c:pt>
                <c:pt idx="3">
                  <c:v>3301000</c:v>
                </c:pt>
                <c:pt idx="4">
                  <c:v>4458000</c:v>
                </c:pt>
                <c:pt idx="5">
                  <c:v>6679000</c:v>
                </c:pt>
                <c:pt idx="6">
                  <c:v>9554000</c:v>
                </c:pt>
                <c:pt idx="7">
                  <c:v>10218000</c:v>
                </c:pt>
                <c:pt idx="8">
                  <c:v>11181000</c:v>
                </c:pt>
                <c:pt idx="9">
                  <c:v>12290000</c:v>
                </c:pt>
                <c:pt idx="10">
                  <c:v>13000000</c:v>
                </c:pt>
                <c:pt idx="11">
                  <c:v>15000000</c:v>
                </c:pt>
                <c:pt idx="12">
                  <c:v>15950000</c:v>
                </c:pt>
                <c:pt idx="13">
                  <c:v>16830000</c:v>
                </c:pt>
                <c:pt idx="14">
                  <c:v>17620000</c:v>
                </c:pt>
                <c:pt idx="15">
                  <c:v>18081000</c:v>
                </c:pt>
                <c:pt idx="16">
                  <c:v>19200000</c:v>
                </c:pt>
                <c:pt idx="17">
                  <c:v>19900000</c:v>
                </c:pt>
                <c:pt idx="18">
                  <c:v>20265000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60-4735-A1A2-515CEBA4F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08944"/>
        <c:axId val="188077599"/>
      </c:scatterChart>
      <c:valAx>
        <c:axId val="94440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7599"/>
        <c:crosses val="autoZero"/>
        <c:crossBetween val="midCat"/>
      </c:valAx>
      <c:valAx>
        <c:axId val="1880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0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'DirectTVCase Study'!$E$3</c:f>
              <c:strCache>
                <c:ptCount val="1"/>
                <c:pt idx="0">
                  <c:v>Subscribers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'DirectTVCase Study'!$D$4:$D$22</c:f>
              <c:numCache>
                <c:formatCode>General</c:formatCode>
                <c:ptCount val="19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2012</c:v>
                </c:pt>
                <c:pt idx="18">
                  <c:v>2014</c:v>
                </c:pt>
              </c:numCache>
            </c:numRef>
          </c:xVal>
          <c:yVal>
            <c:numRef>
              <c:f>'DirectTVCase Study'!$E$4:$E$22</c:f>
              <c:numCache>
                <c:formatCode>General</c:formatCode>
                <c:ptCount val="19"/>
                <c:pt idx="0">
                  <c:v>0.32</c:v>
                </c:pt>
                <c:pt idx="1">
                  <c:v>1.2</c:v>
                </c:pt>
                <c:pt idx="2">
                  <c:v>2.2999999999999998</c:v>
                </c:pt>
                <c:pt idx="3">
                  <c:v>3.3010000000000002</c:v>
                </c:pt>
                <c:pt idx="4">
                  <c:v>4.4580000000000002</c:v>
                </c:pt>
                <c:pt idx="5">
                  <c:v>6.6790000000000003</c:v>
                </c:pt>
                <c:pt idx="6">
                  <c:v>9.5540000000000003</c:v>
                </c:pt>
                <c:pt idx="7">
                  <c:v>10.218</c:v>
                </c:pt>
                <c:pt idx="8">
                  <c:v>11.180999999999999</c:v>
                </c:pt>
                <c:pt idx="9">
                  <c:v>12.29</c:v>
                </c:pt>
                <c:pt idx="10">
                  <c:v>13</c:v>
                </c:pt>
                <c:pt idx="11">
                  <c:v>15</c:v>
                </c:pt>
                <c:pt idx="12">
                  <c:v>15.95</c:v>
                </c:pt>
                <c:pt idx="13">
                  <c:v>16.829999999999998</c:v>
                </c:pt>
                <c:pt idx="14">
                  <c:v>17.62</c:v>
                </c:pt>
                <c:pt idx="15">
                  <c:v>18.081</c:v>
                </c:pt>
                <c:pt idx="16">
                  <c:v>19.2</c:v>
                </c:pt>
                <c:pt idx="17">
                  <c:v>19.899999999999999</c:v>
                </c:pt>
                <c:pt idx="18">
                  <c:v>20.265000000000001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5-4042-9517-ED82419D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744096"/>
        <c:axId val="1147875600"/>
      </c:scatterChart>
      <c:valAx>
        <c:axId val="94274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75600"/>
        <c:crosses val="autoZero"/>
        <c:crossBetween val="midCat"/>
      </c:valAx>
      <c:valAx>
        <c:axId val="114787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44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'DirectTVCase Study'!$L$3</c:f>
              <c:strCache>
                <c:ptCount val="1"/>
                <c:pt idx="0">
                  <c:v>Subscribers 
(millions)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'DirectTVCase Study'!$K$4:$K$22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18</c:v>
                </c:pt>
                <c:pt idx="18">
                  <c:v>20</c:v>
                </c:pt>
              </c:numCache>
            </c:numRef>
          </c:xVal>
          <c:yVal>
            <c:numRef>
              <c:f>'DirectTVCase Study'!$L$4:$L$22</c:f>
              <c:numCache>
                <c:formatCode>General</c:formatCode>
                <c:ptCount val="19"/>
                <c:pt idx="0">
                  <c:v>0.32</c:v>
                </c:pt>
                <c:pt idx="1">
                  <c:v>1.2</c:v>
                </c:pt>
                <c:pt idx="2">
                  <c:v>2.2999999999999998</c:v>
                </c:pt>
                <c:pt idx="3">
                  <c:v>3.3010000000000002</c:v>
                </c:pt>
                <c:pt idx="4">
                  <c:v>4.4580000000000002</c:v>
                </c:pt>
                <c:pt idx="5">
                  <c:v>6.6790000000000003</c:v>
                </c:pt>
                <c:pt idx="6">
                  <c:v>9.5540000000000003</c:v>
                </c:pt>
                <c:pt idx="7">
                  <c:v>10.218</c:v>
                </c:pt>
                <c:pt idx="8">
                  <c:v>11.180999999999999</c:v>
                </c:pt>
                <c:pt idx="9">
                  <c:v>12.29</c:v>
                </c:pt>
                <c:pt idx="10">
                  <c:v>13</c:v>
                </c:pt>
                <c:pt idx="11">
                  <c:v>15</c:v>
                </c:pt>
                <c:pt idx="12">
                  <c:v>15.95</c:v>
                </c:pt>
                <c:pt idx="13">
                  <c:v>16.829999999999998</c:v>
                </c:pt>
                <c:pt idx="14">
                  <c:v>17.62</c:v>
                </c:pt>
                <c:pt idx="15">
                  <c:v>18.081</c:v>
                </c:pt>
                <c:pt idx="16">
                  <c:v>19.2</c:v>
                </c:pt>
                <c:pt idx="17">
                  <c:v>19.899999999999999</c:v>
                </c:pt>
                <c:pt idx="18">
                  <c:v>20.265000000000001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49-45E0-BC93-D3D0BECB4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305935"/>
        <c:axId val="1376819824"/>
      </c:scatterChart>
      <c:valAx>
        <c:axId val="105430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19824"/>
        <c:crosses val="autoZero"/>
        <c:crossBetween val="midCat"/>
      </c:valAx>
      <c:valAx>
        <c:axId val="1376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30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454818</xdr:colOff>
      <xdr:row>15</xdr:row>
      <xdr:rowOff>109537</xdr:rowOff>
    </xdr:from>
    <xdr:to>
      <xdr:col>6</xdr:col>
      <xdr:colOff>221455</xdr:colOff>
      <xdr:row>30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629058-887B-EEA6-9E31-DDC8F26A7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645318</xdr:colOff>
      <xdr:row>2</xdr:row>
      <xdr:rowOff>176212</xdr:rowOff>
    </xdr:from>
    <xdr:to>
      <xdr:col>13</xdr:col>
      <xdr:colOff>35718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9439A-6C31-D747-6FB6-E92912D6C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283368</xdr:colOff>
      <xdr:row>2</xdr:row>
      <xdr:rowOff>14287</xdr:rowOff>
    </xdr:from>
    <xdr:to>
      <xdr:col>13</xdr:col>
      <xdr:colOff>321468</xdr:colOff>
      <xdr:row>17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4112F-7160-44AB-07E7-078DB69F7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20</xdr:row>
      <xdr:rowOff>114300</xdr:rowOff>
    </xdr:from>
    <xdr:to>
      <xdr:col>13</xdr:col>
      <xdr:colOff>514350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C29188-CC41-30C1-6393-80C6F14B0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59530</xdr:rowOff>
    </xdr:from>
    <xdr:to>
      <xdr:col>3</xdr:col>
      <xdr:colOff>38101</xdr:colOff>
      <xdr:row>50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A3F75-6735-1E36-D02C-092FE2036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376238</xdr:colOff>
      <xdr:row>39</xdr:row>
      <xdr:rowOff>76198</xdr:rowOff>
    </xdr:from>
    <xdr:to>
      <xdr:col>7</xdr:col>
      <xdr:colOff>171450</xdr:colOff>
      <xdr:row>53</xdr:row>
      <xdr:rowOff>128586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5657C0-A7B5-2740-88A3-8412754B8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195262</xdr:colOff>
      <xdr:row>39</xdr:row>
      <xdr:rowOff>9523</xdr:rowOff>
    </xdr:from>
    <xdr:to>
      <xdr:col>14</xdr:col>
      <xdr:colOff>409575</xdr:colOff>
      <xdr:row>56</xdr:row>
      <xdr:rowOff>42863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C4C7D-EB09-6E09-E3C3-6226ABA55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F2D9-069A-4E13-9FEE-F00912A8C9A7}">
  <dimension ref="A1:E14"/>
  <sheetViews>
    <sheetView workbookViewId="0">
      <selection activeCell="F13" sqref="F13"/>
    </sheetView>
  </sheetViews>
  <sheetFormatPr defaultRowHeight="14.25" x14ac:dyDescent="0.45"/>
  <cols>
    <col min="1" max="1" width="17" customWidth="1"/>
    <col min="3" max="3" width="11.86328125" customWidth="1"/>
    <col min="4" max="4" width="11.1328125" customWidth="1"/>
  </cols>
  <sheetData>
    <row r="1" spans="1:5" x14ac:dyDescent="0.45">
      <c r="A1" s="2" t="s">
        <v>0</v>
      </c>
      <c r="B1" s="2" t="s">
        <v>1</v>
      </c>
      <c r="C1" s="1" t="s">
        <v>2</v>
      </c>
      <c r="D1" s="1" t="s">
        <v>3</v>
      </c>
      <c r="E1" t="s">
        <v>4</v>
      </c>
    </row>
    <row r="2" spans="1:5" x14ac:dyDescent="0.45">
      <c r="A2">
        <v>10</v>
      </c>
      <c r="B2">
        <v>250</v>
      </c>
    </row>
    <row r="3" spans="1:5" x14ac:dyDescent="0.45">
      <c r="A3">
        <v>20</v>
      </c>
      <c r="B3">
        <v>400</v>
      </c>
      <c r="C3">
        <f>A3-A2</f>
        <v>10</v>
      </c>
      <c r="D3">
        <f>B3-B2</f>
        <v>150</v>
      </c>
      <c r="E3">
        <f>D3/C3</f>
        <v>15</v>
      </c>
    </row>
    <row r="4" spans="1:5" x14ac:dyDescent="0.45">
      <c r="A4">
        <v>30</v>
      </c>
      <c r="B4">
        <v>550</v>
      </c>
      <c r="C4">
        <f t="shared" ref="C4:C5" si="0">A4-A3</f>
        <v>10</v>
      </c>
      <c r="D4">
        <f t="shared" ref="D4:D5" si="1">B4-B3</f>
        <v>150</v>
      </c>
      <c r="E4">
        <f t="shared" ref="E4:E5" si="2">D4/C4</f>
        <v>15</v>
      </c>
    </row>
    <row r="5" spans="1:5" x14ac:dyDescent="0.45">
      <c r="A5">
        <v>40</v>
      </c>
      <c r="B5">
        <v>700</v>
      </c>
      <c r="C5">
        <f t="shared" si="0"/>
        <v>10</v>
      </c>
      <c r="D5">
        <f t="shared" si="1"/>
        <v>150</v>
      </c>
      <c r="E5">
        <f t="shared" si="2"/>
        <v>15</v>
      </c>
    </row>
    <row r="9" spans="1:5" x14ac:dyDescent="0.45">
      <c r="A9" t="s">
        <v>5</v>
      </c>
      <c r="B9">
        <f>E5</f>
        <v>15</v>
      </c>
    </row>
    <row r="10" spans="1:5" x14ac:dyDescent="0.45">
      <c r="A10" t="s">
        <v>6</v>
      </c>
      <c r="B10">
        <v>100</v>
      </c>
    </row>
    <row r="13" spans="1:5" x14ac:dyDescent="0.45">
      <c r="A13" s="2" t="s">
        <v>0</v>
      </c>
      <c r="B13">
        <v>70</v>
      </c>
    </row>
    <row r="14" spans="1:5" x14ac:dyDescent="0.45">
      <c r="A14" s="2" t="s">
        <v>1</v>
      </c>
      <c r="B14">
        <f>B9*B13+B10</f>
        <v>1150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244A-C558-4DE3-AB96-B5A6A0B1BE3B}">
  <dimension ref="A1:E11"/>
  <sheetViews>
    <sheetView workbookViewId="0">
      <selection activeCell="D25" sqref="D25"/>
    </sheetView>
  </sheetViews>
  <sheetFormatPr defaultRowHeight="14.25" x14ac:dyDescent="0.45"/>
  <cols>
    <col min="2" max="2" width="17.59765625" customWidth="1"/>
    <col min="3" max="3" width="14" customWidth="1"/>
    <col min="4" max="4" width="14.73046875" customWidth="1"/>
    <col min="5" max="5" width="12.73046875" customWidth="1"/>
  </cols>
  <sheetData>
    <row r="1" spans="1:5" x14ac:dyDescent="0.45">
      <c r="A1" s="1" t="s">
        <v>7</v>
      </c>
      <c r="B1" s="1" t="s">
        <v>8</v>
      </c>
      <c r="C1" t="s">
        <v>9</v>
      </c>
      <c r="D1" t="s">
        <v>10</v>
      </c>
      <c r="E1" t="s">
        <v>4</v>
      </c>
    </row>
    <row r="2" spans="1:5" x14ac:dyDescent="0.45">
      <c r="A2">
        <v>2012</v>
      </c>
      <c r="B2">
        <f>27870</f>
        <v>27870</v>
      </c>
    </row>
    <row r="3" spans="1:5" x14ac:dyDescent="0.45">
      <c r="A3">
        <v>2013</v>
      </c>
      <c r="B3">
        <v>29004</v>
      </c>
      <c r="C3">
        <f>A3-A2</f>
        <v>1</v>
      </c>
      <c r="D3">
        <f>B3-B2</f>
        <v>1134</v>
      </c>
      <c r="E3">
        <f>D3/C3</f>
        <v>1134</v>
      </c>
    </row>
    <row r="4" spans="1:5" x14ac:dyDescent="0.45">
      <c r="A4">
        <v>2014</v>
      </c>
      <c r="B4">
        <v>30138</v>
      </c>
      <c r="C4">
        <f t="shared" ref="C4:C6" si="0">A4-A3</f>
        <v>1</v>
      </c>
      <c r="D4">
        <f t="shared" ref="D4:D6" si="1">B4-B3</f>
        <v>1134</v>
      </c>
      <c r="E4">
        <f t="shared" ref="E4:E6" si="2">D4/C4</f>
        <v>1134</v>
      </c>
    </row>
    <row r="5" spans="1:5" x14ac:dyDescent="0.45">
      <c r="A5">
        <v>2015</v>
      </c>
      <c r="B5">
        <v>31272</v>
      </c>
      <c r="C5">
        <f t="shared" si="0"/>
        <v>1</v>
      </c>
      <c r="D5">
        <f t="shared" si="1"/>
        <v>1134</v>
      </c>
      <c r="E5">
        <f t="shared" si="2"/>
        <v>1134</v>
      </c>
    </row>
    <row r="6" spans="1:5" x14ac:dyDescent="0.45">
      <c r="A6">
        <v>2016</v>
      </c>
      <c r="B6">
        <v>32406</v>
      </c>
      <c r="C6">
        <f t="shared" si="0"/>
        <v>1</v>
      </c>
      <c r="D6">
        <f t="shared" si="1"/>
        <v>1134</v>
      </c>
      <c r="E6">
        <f t="shared" si="2"/>
        <v>1134</v>
      </c>
    </row>
    <row r="10" spans="1:5" x14ac:dyDescent="0.45">
      <c r="A10" t="s">
        <v>11</v>
      </c>
      <c r="B10">
        <f>E6</f>
        <v>1134</v>
      </c>
    </row>
    <row r="11" spans="1:5" x14ac:dyDescent="0.45">
      <c r="A11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0AF6-2BF1-4CD2-A582-DEB00EB12D14}">
  <dimension ref="A1:E24"/>
  <sheetViews>
    <sheetView workbookViewId="0">
      <selection activeCell="C36" sqref="C36"/>
    </sheetView>
  </sheetViews>
  <sheetFormatPr defaultRowHeight="14.25" x14ac:dyDescent="0.45"/>
  <cols>
    <col min="1" max="1" width="17.73046875" customWidth="1"/>
    <col min="2" max="2" width="10.73046875" customWidth="1"/>
    <col min="3" max="3" width="11.265625" customWidth="1"/>
    <col min="4" max="4" width="10.86328125" customWidth="1"/>
    <col min="5" max="5" width="15.1328125" customWidth="1"/>
  </cols>
  <sheetData>
    <row r="1" spans="1:5" x14ac:dyDescent="0.45">
      <c r="A1" s="1" t="s">
        <v>42</v>
      </c>
      <c r="B1" s="1" t="s">
        <v>13</v>
      </c>
      <c r="C1" t="s">
        <v>14</v>
      </c>
      <c r="D1" s="1" t="s">
        <v>15</v>
      </c>
      <c r="E1" s="1" t="s">
        <v>4</v>
      </c>
    </row>
    <row r="2" spans="1:5" x14ac:dyDescent="0.45">
      <c r="A2">
        <v>0</v>
      </c>
      <c r="B2">
        <v>1.2</v>
      </c>
    </row>
    <row r="3" spans="1:5" x14ac:dyDescent="0.45">
      <c r="A3">
        <v>4</v>
      </c>
      <c r="B3">
        <v>6.68</v>
      </c>
      <c r="C3">
        <f>A3-A2</f>
        <v>4</v>
      </c>
      <c r="D3">
        <f>B3-B2</f>
        <v>5.4799999999999995</v>
      </c>
      <c r="E3">
        <f>D3/C3</f>
        <v>1.3699999999999999</v>
      </c>
    </row>
    <row r="4" spans="1:5" x14ac:dyDescent="0.45">
      <c r="A4">
        <v>7</v>
      </c>
      <c r="B4">
        <v>11.18</v>
      </c>
      <c r="C4">
        <f t="shared" ref="C4:C7" si="0">A4-A3</f>
        <v>3</v>
      </c>
      <c r="D4">
        <f t="shared" ref="D4:D7" si="1">B4-B3</f>
        <v>4.5</v>
      </c>
      <c r="E4">
        <f t="shared" ref="E4:E7" si="2">D4/C4</f>
        <v>1.5</v>
      </c>
    </row>
    <row r="5" spans="1:5" x14ac:dyDescent="0.45">
      <c r="A5">
        <v>9</v>
      </c>
      <c r="B5">
        <v>13</v>
      </c>
      <c r="C5">
        <f t="shared" si="0"/>
        <v>2</v>
      </c>
      <c r="D5">
        <f t="shared" si="1"/>
        <v>1.8200000000000003</v>
      </c>
      <c r="E5">
        <f t="shared" si="2"/>
        <v>0.91000000000000014</v>
      </c>
    </row>
    <row r="6" spans="1:5" x14ac:dyDescent="0.45">
      <c r="A6">
        <v>16</v>
      </c>
      <c r="B6">
        <v>19.89</v>
      </c>
      <c r="C6">
        <f t="shared" si="0"/>
        <v>7</v>
      </c>
      <c r="D6">
        <f t="shared" si="1"/>
        <v>6.8900000000000006</v>
      </c>
      <c r="E6">
        <f t="shared" si="2"/>
        <v>0.98428571428571432</v>
      </c>
    </row>
    <row r="7" spans="1:5" x14ac:dyDescent="0.45">
      <c r="A7">
        <v>19</v>
      </c>
      <c r="B7">
        <v>20.350000000000001</v>
      </c>
      <c r="C7">
        <f t="shared" si="0"/>
        <v>3</v>
      </c>
      <c r="D7">
        <f t="shared" si="1"/>
        <v>0.46000000000000085</v>
      </c>
      <c r="E7">
        <f t="shared" si="2"/>
        <v>0.15333333333333363</v>
      </c>
    </row>
    <row r="20" spans="1:2" x14ac:dyDescent="0.45">
      <c r="A20" t="s">
        <v>40</v>
      </c>
      <c r="B20">
        <v>1.0204</v>
      </c>
    </row>
    <row r="21" spans="1:2" x14ac:dyDescent="0.45">
      <c r="A21" t="s">
        <v>41</v>
      </c>
      <c r="B21">
        <v>2.6960999999999999</v>
      </c>
    </row>
    <row r="23" spans="1:2" x14ac:dyDescent="0.45">
      <c r="A23" t="s">
        <v>12</v>
      </c>
      <c r="B23">
        <f>2014-1995</f>
        <v>19</v>
      </c>
    </row>
    <row r="24" spans="1:2" x14ac:dyDescent="0.45">
      <c r="A24" t="s">
        <v>43</v>
      </c>
      <c r="B24">
        <f>B20*B23+B21</f>
        <v>22.0837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CD03-F5CA-4D81-82E1-579504F44C3C}">
  <dimension ref="A1:I18"/>
  <sheetViews>
    <sheetView workbookViewId="0">
      <selection activeCell="G30" sqref="G30"/>
    </sheetView>
  </sheetViews>
  <sheetFormatPr defaultRowHeight="14.25" x14ac:dyDescent="0.45"/>
  <sheetData>
    <row r="1" spans="1:9" x14ac:dyDescent="0.45">
      <c r="A1" t="s">
        <v>16</v>
      </c>
    </row>
    <row r="2" spans="1:9" ht="14.65" thickBot="1" x14ac:dyDescent="0.5"/>
    <row r="3" spans="1:9" x14ac:dyDescent="0.45">
      <c r="A3" s="5" t="s">
        <v>17</v>
      </c>
      <c r="B3" s="5"/>
    </row>
    <row r="4" spans="1:9" x14ac:dyDescent="0.45">
      <c r="A4" t="s">
        <v>18</v>
      </c>
      <c r="B4">
        <v>0.98360467452095279</v>
      </c>
    </row>
    <row r="5" spans="1:9" x14ac:dyDescent="0.45">
      <c r="A5" t="s">
        <v>19</v>
      </c>
      <c r="B5">
        <v>0.96747815573946938</v>
      </c>
    </row>
    <row r="6" spans="1:9" x14ac:dyDescent="0.45">
      <c r="A6" t="s">
        <v>20</v>
      </c>
      <c r="B6">
        <v>0.95934769467433667</v>
      </c>
    </row>
    <row r="7" spans="1:9" x14ac:dyDescent="0.45">
      <c r="A7" t="s">
        <v>21</v>
      </c>
      <c r="B7">
        <v>1.5049712000376274</v>
      </c>
    </row>
    <row r="8" spans="1:9" ht="14.65" thickBot="1" x14ac:dyDescent="0.5">
      <c r="A8" s="3" t="s">
        <v>22</v>
      </c>
      <c r="B8" s="3">
        <v>6</v>
      </c>
    </row>
    <row r="10" spans="1:9" ht="14.65" thickBot="1" x14ac:dyDescent="0.5">
      <c r="A10" t="s">
        <v>23</v>
      </c>
    </row>
    <row r="11" spans="1:9" x14ac:dyDescent="0.45">
      <c r="A11" s="4"/>
      <c r="B11" s="4" t="s">
        <v>27</v>
      </c>
      <c r="C11" s="4" t="s">
        <v>28</v>
      </c>
      <c r="D11" s="4" t="s">
        <v>29</v>
      </c>
      <c r="E11" s="4" t="s">
        <v>30</v>
      </c>
      <c r="F11" s="4" t="s">
        <v>31</v>
      </c>
    </row>
    <row r="12" spans="1:9" x14ac:dyDescent="0.45">
      <c r="A12" t="s">
        <v>24</v>
      </c>
      <c r="B12">
        <v>1</v>
      </c>
      <c r="C12">
        <v>269.51464674822932</v>
      </c>
      <c r="D12">
        <v>269.51464674822932</v>
      </c>
      <c r="E12">
        <v>118.99425481397124</v>
      </c>
      <c r="F12">
        <v>4.0100645969709227E-4</v>
      </c>
    </row>
    <row r="13" spans="1:9" x14ac:dyDescent="0.45">
      <c r="A13" t="s">
        <v>25</v>
      </c>
      <c r="B13">
        <v>4</v>
      </c>
      <c r="C13">
        <v>9.0597532517707844</v>
      </c>
      <c r="D13">
        <v>2.2649383129426961</v>
      </c>
    </row>
    <row r="14" spans="1:9" ht="14.65" thickBot="1" x14ac:dyDescent="0.5">
      <c r="A14" s="3" t="s">
        <v>26</v>
      </c>
      <c r="B14" s="3">
        <v>5</v>
      </c>
      <c r="C14" s="3">
        <v>278.57440000000008</v>
      </c>
      <c r="D14" s="3"/>
      <c r="E14" s="3"/>
      <c r="F14" s="3"/>
    </row>
    <row r="15" spans="1:9" ht="14.65" thickBot="1" x14ac:dyDescent="0.5"/>
    <row r="16" spans="1:9" x14ac:dyDescent="0.45">
      <c r="A16" s="4"/>
      <c r="B16" s="4" t="s">
        <v>32</v>
      </c>
      <c r="C16" s="4" t="s">
        <v>21</v>
      </c>
      <c r="D16" s="4" t="s">
        <v>33</v>
      </c>
      <c r="E16" s="4" t="s">
        <v>34</v>
      </c>
      <c r="F16" s="4" t="s">
        <v>35</v>
      </c>
      <c r="G16" s="4" t="s">
        <v>36</v>
      </c>
      <c r="H16" s="4" t="s">
        <v>37</v>
      </c>
      <c r="I16" s="4" t="s">
        <v>38</v>
      </c>
    </row>
    <row r="17" spans="1:9" x14ac:dyDescent="0.45">
      <c r="A17" t="s">
        <v>6</v>
      </c>
      <c r="B17">
        <v>2.6961043142305225</v>
      </c>
      <c r="C17">
        <v>1.0548840607843568</v>
      </c>
      <c r="D17">
        <v>2.5558299859283493</v>
      </c>
      <c r="E17">
        <v>6.2915375750545011E-2</v>
      </c>
      <c r="F17">
        <v>-0.23272337288537637</v>
      </c>
      <c r="G17">
        <v>5.624932001346421</v>
      </c>
      <c r="H17">
        <v>-0.23272337288537637</v>
      </c>
      <c r="I17">
        <v>5.624932001346421</v>
      </c>
    </row>
    <row r="18" spans="1:9" ht="14.65" thickBot="1" x14ac:dyDescent="0.5">
      <c r="A18" s="3" t="s">
        <v>39</v>
      </c>
      <c r="B18" s="3">
        <v>1.0204249839021251</v>
      </c>
      <c r="C18" s="3">
        <v>9.3544463045248216E-2</v>
      </c>
      <c r="D18" s="3">
        <v>10.908448781287431</v>
      </c>
      <c r="E18" s="3">
        <v>4.0100645969709227E-4</v>
      </c>
      <c r="F18" s="3">
        <v>0.76070391736178977</v>
      </c>
      <c r="G18" s="3">
        <v>1.2801460504424604</v>
      </c>
      <c r="H18" s="3">
        <v>0.76070391736178977</v>
      </c>
      <c r="I18" s="3">
        <v>1.2801460504424604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E3FD-DAAE-496D-B30D-D17F8025224B}">
  <dimension ref="A1:Q72"/>
  <sheetViews>
    <sheetView tabSelected="1" topLeftCell="A28" zoomScaleNormal="100" workbookViewId="0">
      <selection sqref="A1:B22"/>
    </sheetView>
  </sheetViews>
  <sheetFormatPr defaultRowHeight="14.25" x14ac:dyDescent="0.45"/>
  <cols>
    <col min="2" max="2" width="18.1328125" customWidth="1"/>
    <col min="3" max="3" width="3.59765625" customWidth="1"/>
    <col min="4" max="4" width="9.59765625" customWidth="1"/>
    <col min="5" max="5" width="10.3984375" customWidth="1"/>
    <col min="6" max="6" width="11" customWidth="1"/>
    <col min="7" max="7" width="15.86328125" customWidth="1"/>
    <col min="8" max="9" width="9.265625" customWidth="1"/>
    <col min="10" max="10" width="2.86328125" customWidth="1"/>
    <col min="11" max="11" width="10.3984375" style="25" customWidth="1"/>
    <col min="12" max="12" width="11.3984375" style="25" customWidth="1"/>
    <col min="13" max="13" width="10.59765625" style="25" customWidth="1"/>
    <col min="14" max="14" width="14.73046875" style="25" customWidth="1"/>
    <col min="15" max="15" width="9" style="25"/>
  </cols>
  <sheetData>
    <row r="1" spans="1:17" x14ac:dyDescent="0.45">
      <c r="A1" s="18" t="s">
        <v>45</v>
      </c>
      <c r="B1" s="18"/>
      <c r="D1" s="8" t="s">
        <v>46</v>
      </c>
      <c r="E1" s="9"/>
      <c r="F1" s="9"/>
      <c r="G1" s="9"/>
      <c r="H1" s="9"/>
      <c r="I1" s="9"/>
      <c r="K1" s="23" t="s">
        <v>47</v>
      </c>
      <c r="L1" s="24"/>
    </row>
    <row r="2" spans="1:17" x14ac:dyDescent="0.45">
      <c r="A2" s="18"/>
      <c r="B2" s="18"/>
      <c r="D2" s="9"/>
      <c r="E2" s="9"/>
      <c r="F2" s="9"/>
      <c r="G2" s="9"/>
      <c r="H2" s="9"/>
      <c r="I2" s="9"/>
      <c r="K2" s="26"/>
      <c r="L2" s="27"/>
    </row>
    <row r="3" spans="1:17" ht="42.75" x14ac:dyDescent="0.45">
      <c r="A3" s="20" t="s">
        <v>44</v>
      </c>
      <c r="B3" s="20" t="s">
        <v>13</v>
      </c>
      <c r="C3" s="2"/>
      <c r="D3" s="10" t="s">
        <v>44</v>
      </c>
      <c r="E3" s="11" t="s">
        <v>13</v>
      </c>
      <c r="F3" s="17" t="s">
        <v>51</v>
      </c>
      <c r="G3" s="17" t="s">
        <v>52</v>
      </c>
      <c r="H3" s="17" t="s">
        <v>53</v>
      </c>
      <c r="I3" s="37" t="s">
        <v>69</v>
      </c>
      <c r="K3" s="28" t="s">
        <v>50</v>
      </c>
      <c r="L3" s="28" t="s">
        <v>49</v>
      </c>
      <c r="M3" s="28" t="s">
        <v>51</v>
      </c>
      <c r="N3" s="28" t="s">
        <v>54</v>
      </c>
      <c r="O3" s="28" t="s">
        <v>55</v>
      </c>
    </row>
    <row r="4" spans="1:17" x14ac:dyDescent="0.45">
      <c r="A4" s="21">
        <v>1994</v>
      </c>
      <c r="B4" s="22">
        <v>320000</v>
      </c>
      <c r="C4" s="6"/>
      <c r="D4" s="12">
        <v>1994</v>
      </c>
      <c r="E4" s="12">
        <f>B4/1000000</f>
        <v>0.32</v>
      </c>
      <c r="F4" s="12">
        <f>D4*$E$25+$E$26</f>
        <v>1.3040000000000873</v>
      </c>
      <c r="G4" s="12">
        <f>E4-F4</f>
        <v>-0.98400000000008725</v>
      </c>
      <c r="H4" s="12">
        <f>ABS(G4)</f>
        <v>0.98400000000008725</v>
      </c>
      <c r="I4" s="38">
        <f>ABS((E4-F4)/E4)</f>
        <v>3.0750000000002724</v>
      </c>
      <c r="K4" s="29">
        <f>D4-1994</f>
        <v>0</v>
      </c>
      <c r="L4" s="29">
        <v>0.32</v>
      </c>
      <c r="M4" s="29">
        <f>L4*$L$25+$L$26</f>
        <v>1.5765200000000001</v>
      </c>
      <c r="N4" s="29">
        <f>L4-M4</f>
        <v>-1.2565200000000001</v>
      </c>
      <c r="O4" s="29">
        <f>ABS(N4)</f>
        <v>1.2565200000000001</v>
      </c>
      <c r="Q4">
        <f>ABS((L4-M4)/L4)</f>
        <v>3.926625</v>
      </c>
    </row>
    <row r="5" spans="1:17" x14ac:dyDescent="0.45">
      <c r="A5" s="21">
        <v>1995</v>
      </c>
      <c r="B5" s="22">
        <v>1200000</v>
      </c>
      <c r="C5" s="6"/>
      <c r="D5" s="12">
        <v>1995</v>
      </c>
      <c r="E5" s="12">
        <f t="shared" ref="E5:E22" si="0">B5/1000000</f>
        <v>1.2</v>
      </c>
      <c r="F5" s="12">
        <f t="shared" ref="F5:F22" si="1">D5*$E$25+$E$26</f>
        <v>2.4200000000000728</v>
      </c>
      <c r="G5" s="12">
        <f t="shared" ref="G5:G22" si="2">E5-F5</f>
        <v>-1.2200000000000728</v>
      </c>
      <c r="H5" s="12">
        <f t="shared" ref="H5:H22" si="3">ABS(G5)</f>
        <v>1.2200000000000728</v>
      </c>
      <c r="I5" s="38">
        <f t="shared" ref="I5:I22" si="4">ABS((E5-F5)/E5)</f>
        <v>1.0166666666667274</v>
      </c>
      <c r="K5" s="29">
        <f t="shared" ref="K5:K22" si="5">D5-1994</f>
        <v>1</v>
      </c>
      <c r="L5" s="29">
        <v>1.2</v>
      </c>
      <c r="M5" s="29">
        <f t="shared" ref="M5:M22" si="6">L5*$L$25+$L$26</f>
        <v>2.5586000000000002</v>
      </c>
      <c r="N5" s="29">
        <f t="shared" ref="N5:N22" si="7">L5-M5</f>
        <v>-1.3586000000000003</v>
      </c>
      <c r="O5" s="29">
        <f t="shared" ref="O5:O22" si="8">ABS(N5)</f>
        <v>1.3586000000000003</v>
      </c>
      <c r="Q5">
        <f t="shared" ref="Q5:Q22" si="9">ABS((L5-M5)/L5)</f>
        <v>1.132166666666667</v>
      </c>
    </row>
    <row r="6" spans="1:17" x14ac:dyDescent="0.45">
      <c r="A6" s="21">
        <v>1996</v>
      </c>
      <c r="B6" s="22">
        <v>2300000</v>
      </c>
      <c r="C6" s="6"/>
      <c r="D6" s="12">
        <v>1996</v>
      </c>
      <c r="E6" s="12">
        <f t="shared" si="0"/>
        <v>2.2999999999999998</v>
      </c>
      <c r="F6" s="12">
        <f t="shared" si="1"/>
        <v>3.5360000000000582</v>
      </c>
      <c r="G6" s="12">
        <f t="shared" si="2"/>
        <v>-1.2360000000000584</v>
      </c>
      <c r="H6" s="12">
        <f t="shared" si="3"/>
        <v>1.2360000000000584</v>
      </c>
      <c r="I6" s="38">
        <f t="shared" si="4"/>
        <v>0.53739130434785154</v>
      </c>
      <c r="K6" s="29">
        <f t="shared" si="5"/>
        <v>2</v>
      </c>
      <c r="L6" s="29">
        <v>2.2999999999999998</v>
      </c>
      <c r="M6" s="29">
        <f t="shared" si="6"/>
        <v>3.7862</v>
      </c>
      <c r="N6" s="29">
        <f t="shared" si="7"/>
        <v>-1.4862000000000002</v>
      </c>
      <c r="O6" s="29">
        <f t="shared" si="8"/>
        <v>1.4862000000000002</v>
      </c>
      <c r="Q6">
        <f t="shared" si="9"/>
        <v>0.64617391304347838</v>
      </c>
    </row>
    <row r="7" spans="1:17" x14ac:dyDescent="0.45">
      <c r="A7" s="21">
        <v>1997</v>
      </c>
      <c r="B7" s="22">
        <v>3301000</v>
      </c>
      <c r="C7" s="6"/>
      <c r="D7" s="12">
        <v>1997</v>
      </c>
      <c r="E7" s="12">
        <f t="shared" si="0"/>
        <v>3.3010000000000002</v>
      </c>
      <c r="F7" s="12">
        <f t="shared" si="1"/>
        <v>4.6520000000000437</v>
      </c>
      <c r="G7" s="12">
        <f t="shared" si="2"/>
        <v>-1.3510000000000435</v>
      </c>
      <c r="H7" s="12">
        <f t="shared" si="3"/>
        <v>1.3510000000000435</v>
      </c>
      <c r="I7" s="38">
        <f t="shared" si="4"/>
        <v>0.40926991820661723</v>
      </c>
      <c r="K7" s="29">
        <f t="shared" si="5"/>
        <v>3</v>
      </c>
      <c r="L7" s="29">
        <v>3.3010000000000002</v>
      </c>
      <c r="M7" s="29">
        <f t="shared" si="6"/>
        <v>4.9033160000000002</v>
      </c>
      <c r="N7" s="29">
        <f t="shared" si="7"/>
        <v>-1.6023160000000001</v>
      </c>
      <c r="O7" s="29">
        <f t="shared" si="8"/>
        <v>1.6023160000000001</v>
      </c>
      <c r="Q7">
        <f t="shared" si="9"/>
        <v>0.48540321114813695</v>
      </c>
    </row>
    <row r="8" spans="1:17" x14ac:dyDescent="0.45">
      <c r="A8" s="21">
        <v>1998</v>
      </c>
      <c r="B8" s="22">
        <v>4458000</v>
      </c>
      <c r="C8" s="6"/>
      <c r="D8" s="12">
        <v>1998</v>
      </c>
      <c r="E8" s="12">
        <f t="shared" si="0"/>
        <v>4.4580000000000002</v>
      </c>
      <c r="F8" s="12">
        <f t="shared" si="1"/>
        <v>5.7680000000000291</v>
      </c>
      <c r="G8" s="12">
        <f t="shared" si="2"/>
        <v>-1.3100000000000289</v>
      </c>
      <c r="H8" s="12">
        <f t="shared" si="3"/>
        <v>1.3100000000000289</v>
      </c>
      <c r="I8" s="38">
        <f t="shared" si="4"/>
        <v>0.29385374607447934</v>
      </c>
      <c r="K8" s="29">
        <f t="shared" si="5"/>
        <v>4</v>
      </c>
      <c r="L8" s="29">
        <v>4.4580000000000002</v>
      </c>
      <c r="M8" s="29">
        <f t="shared" si="6"/>
        <v>6.1945280000000009</v>
      </c>
      <c r="N8" s="29">
        <f t="shared" si="7"/>
        <v>-1.7365280000000007</v>
      </c>
      <c r="O8" s="29">
        <f t="shared" si="8"/>
        <v>1.7365280000000007</v>
      </c>
      <c r="Q8">
        <f t="shared" si="9"/>
        <v>0.38953073126962778</v>
      </c>
    </row>
    <row r="9" spans="1:17" x14ac:dyDescent="0.45">
      <c r="A9" s="21">
        <v>1999</v>
      </c>
      <c r="B9" s="22">
        <v>6679000</v>
      </c>
      <c r="C9" s="6"/>
      <c r="D9" s="12">
        <v>1999</v>
      </c>
      <c r="E9" s="12">
        <f t="shared" si="0"/>
        <v>6.6790000000000003</v>
      </c>
      <c r="F9" s="12">
        <f t="shared" si="1"/>
        <v>6.8840000000000146</v>
      </c>
      <c r="G9" s="12">
        <f t="shared" si="2"/>
        <v>-0.20500000000001428</v>
      </c>
      <c r="H9" s="12">
        <f t="shared" si="3"/>
        <v>0.20500000000001428</v>
      </c>
      <c r="I9" s="38">
        <f t="shared" si="4"/>
        <v>3.0693217547539193E-2</v>
      </c>
      <c r="K9" s="29">
        <f t="shared" si="5"/>
        <v>5</v>
      </c>
      <c r="L9" s="29">
        <v>6.6790000000000003</v>
      </c>
      <c r="M9" s="29">
        <f t="shared" si="6"/>
        <v>8.6731640000000016</v>
      </c>
      <c r="N9" s="29">
        <f t="shared" si="7"/>
        <v>-1.9941640000000014</v>
      </c>
      <c r="O9" s="29">
        <f t="shared" si="8"/>
        <v>1.9941640000000014</v>
      </c>
      <c r="Q9">
        <f t="shared" si="9"/>
        <v>0.29857224135349625</v>
      </c>
    </row>
    <row r="10" spans="1:17" x14ac:dyDescent="0.45">
      <c r="A10" s="21">
        <v>2000</v>
      </c>
      <c r="B10" s="22">
        <v>9554000</v>
      </c>
      <c r="C10" s="6"/>
      <c r="D10" s="12">
        <v>2000</v>
      </c>
      <c r="E10" s="12">
        <f t="shared" si="0"/>
        <v>9.5540000000000003</v>
      </c>
      <c r="F10" s="12">
        <f t="shared" si="1"/>
        <v>8</v>
      </c>
      <c r="G10" s="12">
        <f t="shared" si="2"/>
        <v>1.5540000000000003</v>
      </c>
      <c r="H10" s="12">
        <f t="shared" si="3"/>
        <v>1.5540000000000003</v>
      </c>
      <c r="I10" s="38">
        <f t="shared" si="4"/>
        <v>0.16265438559765547</v>
      </c>
      <c r="K10" s="29">
        <f t="shared" si="5"/>
        <v>6</v>
      </c>
      <c r="L10" s="29">
        <v>9.5540000000000003</v>
      </c>
      <c r="M10" s="29">
        <f t="shared" si="6"/>
        <v>11.881664000000001</v>
      </c>
      <c r="N10" s="29">
        <f t="shared" si="7"/>
        <v>-2.3276640000000004</v>
      </c>
      <c r="O10" s="29">
        <f t="shared" si="8"/>
        <v>2.3276640000000004</v>
      </c>
      <c r="Q10">
        <f t="shared" si="9"/>
        <v>0.24363240527527741</v>
      </c>
    </row>
    <row r="11" spans="1:17" x14ac:dyDescent="0.45">
      <c r="A11" s="21">
        <v>2001</v>
      </c>
      <c r="B11" s="22">
        <v>10218000</v>
      </c>
      <c r="C11" s="6"/>
      <c r="D11" s="12">
        <v>2001</v>
      </c>
      <c r="E11" s="12">
        <f t="shared" si="0"/>
        <v>10.218</v>
      </c>
      <c r="F11" s="12">
        <f t="shared" si="1"/>
        <v>9.1159999999999854</v>
      </c>
      <c r="G11" s="12">
        <f t="shared" si="2"/>
        <v>1.1020000000000145</v>
      </c>
      <c r="H11" s="12">
        <f t="shared" si="3"/>
        <v>1.1020000000000145</v>
      </c>
      <c r="I11" s="38">
        <f t="shared" si="4"/>
        <v>0.10784889410843751</v>
      </c>
      <c r="K11" s="29">
        <f t="shared" si="5"/>
        <v>7</v>
      </c>
      <c r="L11" s="29">
        <v>10.218</v>
      </c>
      <c r="M11" s="29">
        <f t="shared" si="6"/>
        <v>12.622688000000002</v>
      </c>
      <c r="N11" s="29">
        <f t="shared" si="7"/>
        <v>-2.4046880000000019</v>
      </c>
      <c r="O11" s="29">
        <f t="shared" si="8"/>
        <v>2.4046880000000019</v>
      </c>
      <c r="Q11">
        <f t="shared" si="9"/>
        <v>0.2353384223918577</v>
      </c>
    </row>
    <row r="12" spans="1:17" x14ac:dyDescent="0.45">
      <c r="A12" s="21">
        <v>2002</v>
      </c>
      <c r="B12" s="22">
        <v>11181000</v>
      </c>
      <c r="C12" s="6"/>
      <c r="D12" s="12">
        <v>2002</v>
      </c>
      <c r="E12" s="12">
        <f t="shared" si="0"/>
        <v>11.180999999999999</v>
      </c>
      <c r="F12" s="12">
        <f t="shared" si="1"/>
        <v>10.232000000000426</v>
      </c>
      <c r="G12" s="12">
        <f t="shared" si="2"/>
        <v>0.94899999999957352</v>
      </c>
      <c r="H12" s="12">
        <f t="shared" si="3"/>
        <v>0.94899999999957352</v>
      </c>
      <c r="I12" s="38">
        <f t="shared" si="4"/>
        <v>8.4876129147623075E-2</v>
      </c>
      <c r="K12" s="29">
        <f t="shared" si="5"/>
        <v>8</v>
      </c>
      <c r="L12" s="29">
        <v>11.180999999999999</v>
      </c>
      <c r="M12" s="29">
        <f t="shared" si="6"/>
        <v>13.697396000000001</v>
      </c>
      <c r="N12" s="29">
        <f t="shared" si="7"/>
        <v>-2.5163960000000021</v>
      </c>
      <c r="O12" s="29">
        <f t="shared" si="8"/>
        <v>2.5163960000000021</v>
      </c>
      <c r="Q12">
        <f t="shared" si="9"/>
        <v>0.22506001252124158</v>
      </c>
    </row>
    <row r="13" spans="1:17" x14ac:dyDescent="0.45">
      <c r="A13" s="21">
        <v>2003</v>
      </c>
      <c r="B13" s="22">
        <v>12290000</v>
      </c>
      <c r="C13" s="6"/>
      <c r="D13" s="12">
        <v>2003</v>
      </c>
      <c r="E13" s="12">
        <f t="shared" si="0"/>
        <v>12.29</v>
      </c>
      <c r="F13" s="12">
        <f t="shared" si="1"/>
        <v>11.348000000000411</v>
      </c>
      <c r="G13" s="12">
        <f t="shared" si="2"/>
        <v>0.94199999999958806</v>
      </c>
      <c r="H13" s="12">
        <f t="shared" si="3"/>
        <v>0.94199999999958806</v>
      </c>
      <c r="I13" s="38">
        <f t="shared" si="4"/>
        <v>7.6647681041463633E-2</v>
      </c>
      <c r="K13" s="29">
        <f t="shared" si="5"/>
        <v>9</v>
      </c>
      <c r="L13" s="29">
        <v>12.29</v>
      </c>
      <c r="M13" s="29">
        <f t="shared" si="6"/>
        <v>14.935040000000001</v>
      </c>
      <c r="N13" s="29">
        <f t="shared" si="7"/>
        <v>-2.6450400000000016</v>
      </c>
      <c r="O13" s="29">
        <f t="shared" si="8"/>
        <v>2.6450400000000016</v>
      </c>
      <c r="Q13">
        <f t="shared" si="9"/>
        <v>0.21521887713588297</v>
      </c>
    </row>
    <row r="14" spans="1:17" x14ac:dyDescent="0.45">
      <c r="A14" s="21">
        <v>2004</v>
      </c>
      <c r="B14" s="22">
        <v>13000000</v>
      </c>
      <c r="C14" s="6"/>
      <c r="D14" s="12">
        <v>2004</v>
      </c>
      <c r="E14" s="12">
        <f t="shared" si="0"/>
        <v>13</v>
      </c>
      <c r="F14" s="12">
        <f t="shared" si="1"/>
        <v>12.464000000000397</v>
      </c>
      <c r="G14" s="12">
        <f t="shared" si="2"/>
        <v>0.53599999999960346</v>
      </c>
      <c r="H14" s="12">
        <f t="shared" si="3"/>
        <v>0.53599999999960346</v>
      </c>
      <c r="I14" s="38">
        <f t="shared" si="4"/>
        <v>4.1230769230738727E-2</v>
      </c>
      <c r="K14" s="29">
        <f t="shared" si="5"/>
        <v>10</v>
      </c>
      <c r="L14" s="29">
        <v>13</v>
      </c>
      <c r="M14" s="29">
        <f t="shared" si="6"/>
        <v>15.727400000000001</v>
      </c>
      <c r="N14" s="29">
        <f t="shared" si="7"/>
        <v>-2.7274000000000012</v>
      </c>
      <c r="O14" s="29">
        <f t="shared" si="8"/>
        <v>2.7274000000000012</v>
      </c>
      <c r="Q14">
        <f t="shared" si="9"/>
        <v>0.2098000000000001</v>
      </c>
    </row>
    <row r="15" spans="1:17" x14ac:dyDescent="0.45">
      <c r="A15" s="21">
        <v>2005</v>
      </c>
      <c r="B15" s="22">
        <v>15000000</v>
      </c>
      <c r="C15" s="6"/>
      <c r="D15" s="12">
        <v>2005</v>
      </c>
      <c r="E15" s="12">
        <f t="shared" si="0"/>
        <v>15</v>
      </c>
      <c r="F15" s="12">
        <f t="shared" si="1"/>
        <v>13.580000000000382</v>
      </c>
      <c r="G15" s="12">
        <f t="shared" si="2"/>
        <v>1.419999999999618</v>
      </c>
      <c r="H15" s="12">
        <f t="shared" si="3"/>
        <v>1.419999999999618</v>
      </c>
      <c r="I15" s="38">
        <f t="shared" si="4"/>
        <v>9.4666666666641197E-2</v>
      </c>
      <c r="K15" s="29">
        <f t="shared" si="5"/>
        <v>11</v>
      </c>
      <c r="L15" s="29">
        <v>15</v>
      </c>
      <c r="M15" s="29">
        <f t="shared" si="6"/>
        <v>17.959400000000002</v>
      </c>
      <c r="N15" s="29">
        <f t="shared" si="7"/>
        <v>-2.9594000000000023</v>
      </c>
      <c r="O15" s="29">
        <f t="shared" si="8"/>
        <v>2.9594000000000023</v>
      </c>
      <c r="Q15">
        <f t="shared" si="9"/>
        <v>0.19729333333333349</v>
      </c>
    </row>
    <row r="16" spans="1:17" x14ac:dyDescent="0.45">
      <c r="A16" s="21">
        <v>2006</v>
      </c>
      <c r="B16" s="22">
        <v>15950000</v>
      </c>
      <c r="C16" s="6"/>
      <c r="D16" s="12">
        <v>2006</v>
      </c>
      <c r="E16" s="12">
        <f t="shared" si="0"/>
        <v>15.95</v>
      </c>
      <c r="F16" s="12">
        <f t="shared" si="1"/>
        <v>14.696000000000367</v>
      </c>
      <c r="G16" s="12">
        <f t="shared" si="2"/>
        <v>1.2539999999996319</v>
      </c>
      <c r="H16" s="12">
        <f t="shared" si="3"/>
        <v>1.2539999999996319</v>
      </c>
      <c r="I16" s="38">
        <f t="shared" si="4"/>
        <v>7.8620689655149331E-2</v>
      </c>
      <c r="K16" s="29">
        <f t="shared" si="5"/>
        <v>12</v>
      </c>
      <c r="L16" s="29">
        <v>15.95</v>
      </c>
      <c r="M16" s="29">
        <f t="shared" si="6"/>
        <v>19.019600000000001</v>
      </c>
      <c r="N16" s="29">
        <f t="shared" si="7"/>
        <v>-3.0696000000000012</v>
      </c>
      <c r="O16" s="29">
        <f t="shared" si="8"/>
        <v>3.0696000000000012</v>
      </c>
      <c r="Q16">
        <f t="shared" si="9"/>
        <v>0.19245141065830729</v>
      </c>
    </row>
    <row r="17" spans="1:17" x14ac:dyDescent="0.45">
      <c r="A17" s="21">
        <v>2007</v>
      </c>
      <c r="B17" s="22">
        <v>16830000</v>
      </c>
      <c r="C17" s="6"/>
      <c r="D17" s="12">
        <v>2007</v>
      </c>
      <c r="E17" s="12">
        <f t="shared" si="0"/>
        <v>16.829999999999998</v>
      </c>
      <c r="F17" s="12">
        <f t="shared" si="1"/>
        <v>15.812000000000353</v>
      </c>
      <c r="G17" s="12">
        <f t="shared" si="2"/>
        <v>1.0179999999996454</v>
      </c>
      <c r="H17" s="12">
        <f t="shared" si="3"/>
        <v>1.0179999999996454</v>
      </c>
      <c r="I17" s="38">
        <f t="shared" si="4"/>
        <v>6.0487225193086483E-2</v>
      </c>
      <c r="K17" s="29">
        <f t="shared" si="5"/>
        <v>13</v>
      </c>
      <c r="L17" s="29">
        <v>16.829999999999998</v>
      </c>
      <c r="M17" s="29">
        <f t="shared" si="6"/>
        <v>20.00168</v>
      </c>
      <c r="N17" s="29">
        <f t="shared" si="7"/>
        <v>-3.1716800000000021</v>
      </c>
      <c r="O17" s="29">
        <f t="shared" si="8"/>
        <v>3.1716800000000021</v>
      </c>
      <c r="Q17">
        <f t="shared" si="9"/>
        <v>0.18845395127748082</v>
      </c>
    </row>
    <row r="18" spans="1:17" x14ac:dyDescent="0.45">
      <c r="A18" s="21">
        <v>2008</v>
      </c>
      <c r="B18" s="22">
        <v>17620000</v>
      </c>
      <c r="C18" s="6"/>
      <c r="D18" s="12">
        <v>2008</v>
      </c>
      <c r="E18" s="12">
        <f t="shared" si="0"/>
        <v>17.62</v>
      </c>
      <c r="F18" s="12">
        <f t="shared" si="1"/>
        <v>16.928000000000338</v>
      </c>
      <c r="G18" s="12">
        <f t="shared" si="2"/>
        <v>0.69199999999966266</v>
      </c>
      <c r="H18" s="12">
        <f t="shared" si="3"/>
        <v>0.69199999999966266</v>
      </c>
      <c r="I18" s="38">
        <f t="shared" si="4"/>
        <v>3.9273552780911616E-2</v>
      </c>
      <c r="K18" s="29">
        <f t="shared" si="5"/>
        <v>14</v>
      </c>
      <c r="L18" s="29">
        <v>17.62</v>
      </c>
      <c r="M18" s="29">
        <f t="shared" si="6"/>
        <v>20.883320000000005</v>
      </c>
      <c r="N18" s="29">
        <f t="shared" si="7"/>
        <v>-3.2633200000000038</v>
      </c>
      <c r="O18" s="29">
        <f t="shared" si="8"/>
        <v>3.2633200000000038</v>
      </c>
      <c r="Q18">
        <f t="shared" si="9"/>
        <v>0.18520544835414321</v>
      </c>
    </row>
    <row r="19" spans="1:17" x14ac:dyDescent="0.45">
      <c r="A19" s="21">
        <v>2009</v>
      </c>
      <c r="B19" s="22">
        <v>18081000</v>
      </c>
      <c r="C19" s="6"/>
      <c r="D19" s="12">
        <v>2009</v>
      </c>
      <c r="E19" s="12">
        <f t="shared" si="0"/>
        <v>18.081</v>
      </c>
      <c r="F19" s="12">
        <f t="shared" si="1"/>
        <v>18.044000000000324</v>
      </c>
      <c r="G19" s="12">
        <f t="shared" si="2"/>
        <v>3.6999999999675737E-2</v>
      </c>
      <c r="H19" s="12">
        <f t="shared" si="3"/>
        <v>3.6999999999675737E-2</v>
      </c>
      <c r="I19" s="38">
        <f t="shared" si="4"/>
        <v>2.046346994064252E-3</v>
      </c>
      <c r="K19" s="29">
        <f t="shared" si="5"/>
        <v>15</v>
      </c>
      <c r="L19" s="29">
        <v>18.081</v>
      </c>
      <c r="M19" s="29">
        <f t="shared" si="6"/>
        <v>21.397796000000003</v>
      </c>
      <c r="N19" s="29">
        <f t="shared" si="7"/>
        <v>-3.3167960000000036</v>
      </c>
      <c r="O19" s="29">
        <f t="shared" si="8"/>
        <v>3.3167960000000036</v>
      </c>
      <c r="Q19">
        <f t="shared" si="9"/>
        <v>0.18344096012388716</v>
      </c>
    </row>
    <row r="20" spans="1:17" x14ac:dyDescent="0.45">
      <c r="A20" s="21">
        <v>2010</v>
      </c>
      <c r="B20" s="22">
        <v>19200000</v>
      </c>
      <c r="C20" s="6"/>
      <c r="D20" s="12">
        <v>2010</v>
      </c>
      <c r="E20" s="12">
        <f t="shared" si="0"/>
        <v>19.2</v>
      </c>
      <c r="F20" s="12">
        <f t="shared" si="1"/>
        <v>19.160000000000309</v>
      </c>
      <c r="G20" s="12">
        <f t="shared" si="2"/>
        <v>3.9999999999690061E-2</v>
      </c>
      <c r="H20" s="12">
        <f t="shared" si="3"/>
        <v>3.9999999999690061E-2</v>
      </c>
      <c r="I20" s="38">
        <f t="shared" si="4"/>
        <v>2.0833333333171908E-3</v>
      </c>
      <c r="K20" s="29">
        <f t="shared" si="5"/>
        <v>16</v>
      </c>
      <c r="L20" s="29">
        <v>19.2</v>
      </c>
      <c r="M20" s="29">
        <f t="shared" si="6"/>
        <v>22.646600000000003</v>
      </c>
      <c r="N20" s="29">
        <f t="shared" si="7"/>
        <v>-3.4466000000000037</v>
      </c>
      <c r="O20" s="29">
        <f t="shared" si="8"/>
        <v>3.4466000000000037</v>
      </c>
      <c r="Q20">
        <f t="shared" si="9"/>
        <v>0.17951041666666687</v>
      </c>
    </row>
    <row r="21" spans="1:17" x14ac:dyDescent="0.45">
      <c r="A21" s="21">
        <v>2012</v>
      </c>
      <c r="B21" s="22">
        <v>19900000</v>
      </c>
      <c r="C21" s="6"/>
      <c r="D21" s="12">
        <v>2012</v>
      </c>
      <c r="E21" s="12">
        <f t="shared" si="0"/>
        <v>19.899999999999999</v>
      </c>
      <c r="F21" s="12">
        <f t="shared" si="1"/>
        <v>21.39200000000028</v>
      </c>
      <c r="G21" s="12">
        <f t="shared" si="2"/>
        <v>-1.4920000000002815</v>
      </c>
      <c r="H21" s="12">
        <f t="shared" si="3"/>
        <v>1.4920000000002815</v>
      </c>
      <c r="I21" s="38">
        <f t="shared" si="4"/>
        <v>7.4974874371873446E-2</v>
      </c>
      <c r="K21" s="29">
        <f t="shared" si="5"/>
        <v>18</v>
      </c>
      <c r="L21" s="29">
        <v>19.899999999999999</v>
      </c>
      <c r="M21" s="29">
        <f t="shared" si="6"/>
        <v>23.427800000000001</v>
      </c>
      <c r="N21" s="29">
        <f t="shared" si="7"/>
        <v>-3.5278000000000027</v>
      </c>
      <c r="O21" s="29">
        <f t="shared" si="8"/>
        <v>3.5278000000000027</v>
      </c>
      <c r="Q21">
        <f t="shared" si="9"/>
        <v>0.17727638190954789</v>
      </c>
    </row>
    <row r="22" spans="1:17" x14ac:dyDescent="0.45">
      <c r="A22" s="21">
        <v>2014</v>
      </c>
      <c r="B22" s="22">
        <v>20265000</v>
      </c>
      <c r="C22" s="6"/>
      <c r="D22" s="12">
        <v>2014</v>
      </c>
      <c r="E22" s="12">
        <f t="shared" si="0"/>
        <v>20.265000000000001</v>
      </c>
      <c r="F22" s="12">
        <f t="shared" si="1"/>
        <v>23.624000000000251</v>
      </c>
      <c r="G22" s="12">
        <f t="shared" si="2"/>
        <v>-3.3590000000002505</v>
      </c>
      <c r="H22" s="12">
        <f t="shared" si="3"/>
        <v>3.3590000000002505</v>
      </c>
      <c r="I22" s="38">
        <f t="shared" si="4"/>
        <v>0.16575376264496672</v>
      </c>
      <c r="K22" s="29">
        <f t="shared" si="5"/>
        <v>20</v>
      </c>
      <c r="L22" s="29">
        <v>20.265000000000001</v>
      </c>
      <c r="M22" s="29">
        <f t="shared" si="6"/>
        <v>23.835140000000003</v>
      </c>
      <c r="N22" s="29">
        <f t="shared" si="7"/>
        <v>-3.5701400000000021</v>
      </c>
      <c r="O22" s="29">
        <f t="shared" si="8"/>
        <v>3.5701400000000021</v>
      </c>
      <c r="Q22">
        <f t="shared" si="9"/>
        <v>0.17617271157167541</v>
      </c>
    </row>
    <row r="23" spans="1:17" x14ac:dyDescent="0.45">
      <c r="A23" s="18"/>
      <c r="B23" s="18"/>
      <c r="D23" s="9"/>
      <c r="E23" s="9"/>
      <c r="F23" s="9"/>
      <c r="G23" s="9"/>
      <c r="H23" s="9"/>
      <c r="I23" s="9"/>
      <c r="K23" s="26"/>
      <c r="L23" s="27"/>
    </row>
    <row r="24" spans="1:17" ht="28.5" x14ac:dyDescent="0.45">
      <c r="A24" s="18"/>
      <c r="B24" s="18"/>
      <c r="D24" s="9"/>
      <c r="E24" s="9"/>
      <c r="F24" s="9"/>
      <c r="G24" s="15" t="s">
        <v>48</v>
      </c>
      <c r="H24" s="16">
        <f>AVERAGE(H4:H22)</f>
        <v>1.0895263157893442</v>
      </c>
      <c r="I24" s="16">
        <f>AVERAGE(I4:I22)</f>
        <v>0.33442311387417972</v>
      </c>
      <c r="K24" s="26"/>
      <c r="L24" s="27"/>
      <c r="N24" s="30" t="s">
        <v>56</v>
      </c>
      <c r="O24" s="25">
        <f>AVERAGE(O4:O22)</f>
        <v>2.5463606315789495</v>
      </c>
      <c r="Q24">
        <f>AVERAGE(Q4:Q22)</f>
        <v>0.49933295235266878</v>
      </c>
    </row>
    <row r="25" spans="1:17" x14ac:dyDescent="0.45">
      <c r="A25" s="18" t="s">
        <v>40</v>
      </c>
      <c r="B25" s="19">
        <v>1000000</v>
      </c>
      <c r="C25" s="6"/>
      <c r="D25" s="13" t="s">
        <v>40</v>
      </c>
      <c r="E25" s="13">
        <v>1.1160000000000001</v>
      </c>
      <c r="F25" s="14"/>
      <c r="G25" s="14"/>
      <c r="H25" s="14"/>
      <c r="I25" s="14"/>
      <c r="K25" s="31" t="s">
        <v>40</v>
      </c>
      <c r="L25" s="32">
        <v>1.1160000000000001</v>
      </c>
      <c r="M25" s="33"/>
      <c r="N25" s="33"/>
      <c r="O25" s="33"/>
    </row>
    <row r="26" spans="1:17" x14ac:dyDescent="0.45">
      <c r="A26" s="18" t="s">
        <v>41</v>
      </c>
      <c r="B26" s="19">
        <v>-2000000000</v>
      </c>
      <c r="C26" s="6"/>
      <c r="D26" s="13" t="s">
        <v>41</v>
      </c>
      <c r="E26" s="14">
        <v>-2224</v>
      </c>
      <c r="F26" s="14"/>
      <c r="G26" s="14"/>
      <c r="H26" s="14"/>
      <c r="I26" s="14"/>
      <c r="K26" s="31" t="s">
        <v>41</v>
      </c>
      <c r="L26" s="32">
        <v>1.2194</v>
      </c>
      <c r="M26" s="33"/>
      <c r="N26" s="33"/>
      <c r="O26" s="33"/>
    </row>
    <row r="27" spans="1:17" x14ac:dyDescent="0.45">
      <c r="A27" s="18"/>
      <c r="B27" s="18"/>
      <c r="D27" s="13"/>
      <c r="E27" s="13"/>
      <c r="F27" s="13"/>
      <c r="G27" s="13"/>
      <c r="H27" s="13"/>
      <c r="I27" s="13"/>
      <c r="K27" s="31"/>
      <c r="L27" s="32"/>
    </row>
    <row r="28" spans="1:17" x14ac:dyDescent="0.45">
      <c r="A28" s="18" t="s">
        <v>44</v>
      </c>
      <c r="B28" s="18" t="s">
        <v>13</v>
      </c>
      <c r="D28" s="13" t="s">
        <v>44</v>
      </c>
      <c r="E28" s="13" t="s">
        <v>13</v>
      </c>
      <c r="F28" s="13"/>
      <c r="G28" s="13"/>
      <c r="H28" s="13"/>
      <c r="I28" s="13"/>
      <c r="K28" s="31" t="s">
        <v>44</v>
      </c>
      <c r="L28" s="32" t="s">
        <v>13</v>
      </c>
      <c r="M28" s="34"/>
      <c r="N28" s="34"/>
      <c r="O28" s="34"/>
    </row>
    <row r="29" spans="1:17" x14ac:dyDescent="0.45">
      <c r="A29" s="18">
        <v>1994</v>
      </c>
      <c r="B29" s="18">
        <f>A29*$B$25+$B$26</f>
        <v>-6000000</v>
      </c>
      <c r="D29" s="13">
        <v>1999</v>
      </c>
      <c r="E29" s="13">
        <f>D29*$E$25+$E$26</f>
        <v>6.8840000000000146</v>
      </c>
      <c r="F29" s="13"/>
      <c r="G29" s="13"/>
      <c r="H29" s="13"/>
      <c r="I29" s="13"/>
      <c r="K29" s="31">
        <v>5</v>
      </c>
      <c r="L29" s="32">
        <f>K29*$L$25+$L$26</f>
        <v>6.7994000000000003</v>
      </c>
      <c r="M29" s="34"/>
      <c r="N29" s="34"/>
      <c r="O29" s="34"/>
    </row>
    <row r="30" spans="1:17" x14ac:dyDescent="0.45">
      <c r="A30" s="18">
        <v>1995</v>
      </c>
      <c r="B30" s="18">
        <f t="shared" ref="B30:B38" si="10">A30*$B$25+$B$26</f>
        <v>-5000000</v>
      </c>
      <c r="D30" s="13">
        <v>2023</v>
      </c>
      <c r="E30" s="13">
        <f t="shared" ref="E30:E38" si="11">D30*$E$25+$E$26</f>
        <v>33.66800000000012</v>
      </c>
      <c r="F30" s="13"/>
      <c r="G30" s="13"/>
      <c r="H30" s="13"/>
      <c r="I30" s="13"/>
      <c r="K30" s="31">
        <f>2023-1994</f>
        <v>29</v>
      </c>
      <c r="L30" s="32">
        <f t="shared" ref="L30:L38" si="12">K30*$L$25+$L$26</f>
        <v>33.583400000000005</v>
      </c>
      <c r="M30" s="34"/>
      <c r="N30" s="34"/>
      <c r="O30" s="34"/>
    </row>
    <row r="31" spans="1:17" x14ac:dyDescent="0.45">
      <c r="A31" s="18">
        <v>1996</v>
      </c>
      <c r="B31" s="18">
        <f t="shared" si="10"/>
        <v>-4000000</v>
      </c>
      <c r="D31" s="13">
        <v>2024</v>
      </c>
      <c r="E31" s="13">
        <f t="shared" si="11"/>
        <v>34.784000000000106</v>
      </c>
      <c r="F31" s="13"/>
      <c r="G31" s="13"/>
      <c r="H31" s="13"/>
      <c r="I31" s="13"/>
      <c r="K31" s="31">
        <v>30</v>
      </c>
      <c r="L31" s="32">
        <f t="shared" si="12"/>
        <v>34.699400000000004</v>
      </c>
      <c r="M31" s="34"/>
      <c r="N31" s="34"/>
      <c r="O31" s="34"/>
    </row>
    <row r="32" spans="1:17" x14ac:dyDescent="0.45">
      <c r="A32" s="18">
        <v>1997</v>
      </c>
      <c r="B32" s="18">
        <f t="shared" si="10"/>
        <v>-3000000</v>
      </c>
      <c r="D32" s="13">
        <v>2025</v>
      </c>
      <c r="E32" s="13">
        <f t="shared" si="11"/>
        <v>35.900000000000091</v>
      </c>
      <c r="F32" s="13"/>
      <c r="G32" s="13"/>
      <c r="H32" s="13"/>
      <c r="I32" s="13"/>
      <c r="K32" s="31">
        <f t="shared" ref="K32" si="13">2023-1994</f>
        <v>29</v>
      </c>
      <c r="L32" s="32">
        <f t="shared" si="12"/>
        <v>33.583400000000005</v>
      </c>
      <c r="M32" s="34"/>
      <c r="N32" s="34"/>
      <c r="O32" s="34"/>
    </row>
    <row r="33" spans="1:15" x14ac:dyDescent="0.45">
      <c r="A33" s="18">
        <v>1998</v>
      </c>
      <c r="B33" s="18">
        <f t="shared" si="10"/>
        <v>-2000000</v>
      </c>
      <c r="D33" s="13">
        <v>2026</v>
      </c>
      <c r="E33" s="13">
        <f t="shared" si="11"/>
        <v>37.016000000000076</v>
      </c>
      <c r="F33" s="13"/>
      <c r="G33" s="13"/>
      <c r="H33" s="13"/>
      <c r="I33" s="13"/>
      <c r="K33" s="31">
        <v>31</v>
      </c>
      <c r="L33" s="32">
        <f t="shared" si="12"/>
        <v>35.815400000000004</v>
      </c>
      <c r="M33" s="34"/>
      <c r="N33" s="34"/>
      <c r="O33" s="34"/>
    </row>
    <row r="34" spans="1:15" x14ac:dyDescent="0.45">
      <c r="A34" s="18">
        <v>1999</v>
      </c>
      <c r="B34" s="18">
        <f t="shared" si="10"/>
        <v>-1000000</v>
      </c>
      <c r="D34" s="13">
        <v>2027</v>
      </c>
      <c r="E34" s="13">
        <f t="shared" si="11"/>
        <v>38.132000000000062</v>
      </c>
      <c r="F34" s="13"/>
      <c r="G34" s="13"/>
      <c r="H34" s="13"/>
      <c r="I34" s="13"/>
      <c r="K34" s="31">
        <f t="shared" ref="K34" si="14">2023-1994</f>
        <v>29</v>
      </c>
      <c r="L34" s="32">
        <f t="shared" si="12"/>
        <v>33.583400000000005</v>
      </c>
      <c r="M34" s="34"/>
      <c r="N34" s="34"/>
      <c r="O34" s="34"/>
    </row>
    <row r="35" spans="1:15" x14ac:dyDescent="0.45">
      <c r="A35" s="18">
        <v>2000</v>
      </c>
      <c r="B35" s="18">
        <f t="shared" si="10"/>
        <v>0</v>
      </c>
      <c r="D35" s="13">
        <v>2028</v>
      </c>
      <c r="E35" s="13">
        <f t="shared" si="11"/>
        <v>39.248000000000047</v>
      </c>
      <c r="F35" s="13"/>
      <c r="G35" s="13"/>
      <c r="H35" s="13"/>
      <c r="I35" s="13"/>
      <c r="K35" s="31">
        <v>32</v>
      </c>
      <c r="L35" s="32">
        <f t="shared" si="12"/>
        <v>36.931400000000004</v>
      </c>
      <c r="M35" s="34"/>
      <c r="N35" s="34"/>
      <c r="O35" s="34"/>
    </row>
    <row r="36" spans="1:15" x14ac:dyDescent="0.45">
      <c r="A36" s="18">
        <v>2001</v>
      </c>
      <c r="B36" s="18">
        <f t="shared" si="10"/>
        <v>1000000</v>
      </c>
      <c r="D36" s="13">
        <v>2029</v>
      </c>
      <c r="E36" s="13">
        <f t="shared" si="11"/>
        <v>40.364000000000033</v>
      </c>
      <c r="F36" s="13"/>
      <c r="G36" s="13"/>
      <c r="H36" s="13"/>
      <c r="I36" s="13"/>
      <c r="K36" s="31">
        <f t="shared" ref="K36" si="15">2023-1994</f>
        <v>29</v>
      </c>
      <c r="L36" s="32">
        <f t="shared" si="12"/>
        <v>33.583400000000005</v>
      </c>
      <c r="M36" s="34"/>
      <c r="N36" s="34"/>
      <c r="O36" s="34"/>
    </row>
    <row r="37" spans="1:15" x14ac:dyDescent="0.45">
      <c r="A37" s="18">
        <v>2002</v>
      </c>
      <c r="B37" s="18">
        <f t="shared" si="10"/>
        <v>2000000</v>
      </c>
      <c r="D37" s="13">
        <v>2030</v>
      </c>
      <c r="E37" s="13">
        <f t="shared" si="11"/>
        <v>41.480000000000018</v>
      </c>
      <c r="F37" s="13"/>
      <c r="G37" s="13"/>
      <c r="H37" s="13"/>
      <c r="I37" s="13"/>
      <c r="K37" s="31">
        <v>33</v>
      </c>
      <c r="L37" s="32">
        <f t="shared" si="12"/>
        <v>38.047400000000003</v>
      </c>
      <c r="M37" s="34"/>
      <c r="N37" s="34"/>
      <c r="O37" s="34"/>
    </row>
    <row r="38" spans="1:15" x14ac:dyDescent="0.45">
      <c r="A38" s="18">
        <v>2003</v>
      </c>
      <c r="B38" s="18">
        <f t="shared" si="10"/>
        <v>3000000</v>
      </c>
      <c r="D38" s="13">
        <v>2031</v>
      </c>
      <c r="E38" s="13">
        <f t="shared" si="11"/>
        <v>42.596000000000004</v>
      </c>
      <c r="F38" s="13"/>
      <c r="G38" s="13"/>
      <c r="H38" s="13"/>
      <c r="I38" s="13"/>
      <c r="K38" s="35">
        <v>34</v>
      </c>
      <c r="L38" s="36">
        <f t="shared" si="12"/>
        <v>39.163400000000003</v>
      </c>
      <c r="M38" s="34"/>
      <c r="N38" s="34"/>
      <c r="O38" s="34"/>
    </row>
    <row r="58" spans="2:2" x14ac:dyDescent="0.45">
      <c r="B58" s="7" t="s">
        <v>62</v>
      </c>
    </row>
    <row r="60" spans="2:2" x14ac:dyDescent="0.45">
      <c r="B60" t="s">
        <v>57</v>
      </c>
    </row>
    <row r="62" spans="2:2" x14ac:dyDescent="0.45">
      <c r="B62" t="s">
        <v>58</v>
      </c>
    </row>
    <row r="63" spans="2:2" x14ac:dyDescent="0.45">
      <c r="B63" t="s">
        <v>59</v>
      </c>
    </row>
    <row r="64" spans="2:2" x14ac:dyDescent="0.45">
      <c r="B64" t="s">
        <v>60</v>
      </c>
    </row>
    <row r="65" spans="2:2" x14ac:dyDescent="0.45">
      <c r="B65" t="s">
        <v>61</v>
      </c>
    </row>
    <row r="67" spans="2:2" x14ac:dyDescent="0.45">
      <c r="B67" t="s">
        <v>63</v>
      </c>
    </row>
    <row r="68" spans="2:2" x14ac:dyDescent="0.45">
      <c r="B68" t="s">
        <v>64</v>
      </c>
    </row>
    <row r="69" spans="2:2" x14ac:dyDescent="0.45">
      <c r="B69" t="s">
        <v>65</v>
      </c>
    </row>
    <row r="70" spans="2:2" x14ac:dyDescent="0.45">
      <c r="B70" t="s">
        <v>66</v>
      </c>
    </row>
    <row r="71" spans="2:2" x14ac:dyDescent="0.45">
      <c r="B71" t="s">
        <v>67</v>
      </c>
    </row>
    <row r="72" spans="2:2" x14ac:dyDescent="0.45">
      <c r="B72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Assignment3</vt:lpstr>
      <vt:lpstr>Assignment 5</vt:lpstr>
      <vt:lpstr>Sheet4</vt:lpstr>
      <vt:lpstr>DirectTVCase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2024-01-03T14:49:16Z</dcterms:created>
  <dcterms:modified xsi:type="dcterms:W3CDTF">2025-02-12T00:37:33Z</dcterms:modified>
</cp:coreProperties>
</file>