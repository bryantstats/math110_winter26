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_backup\math110\"/>
    </mc:Choice>
  </mc:AlternateContent>
  <xr:revisionPtr revIDLastSave="0" documentId="13_ncr:1_{D27E80F1-53B3-480E-A104-D9AA609EB7A0}" xr6:coauthVersionLast="47" xr6:coauthVersionMax="47" xr10:uidLastSave="{00000000-0000-0000-0000-000000000000}"/>
  <bookViews>
    <workbookView xWindow="-98" yWindow="-98" windowWidth="21795" windowHeight="14595" activeTab="2" xr2:uid="{1BB13A1E-409B-45E6-B005-67EE6B7F9B4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5" i="2"/>
  <c r="H4" i="2"/>
  <c r="H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3" i="2"/>
  <c r="J22" i="1"/>
  <c r="J21" i="1"/>
  <c r="J20" i="1"/>
  <c r="J19" i="1"/>
  <c r="J18" i="1"/>
  <c r="J17" i="1"/>
  <c r="J16" i="1"/>
  <c r="J15" i="1"/>
  <c r="J14" i="1"/>
  <c r="J13" i="1"/>
  <c r="J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I3" i="1"/>
  <c r="J3" i="1"/>
  <c r="I4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F4" i="1"/>
  <c r="E4" i="1"/>
  <c r="E3" i="1"/>
  <c r="F3" i="1" s="1"/>
  <c r="J4" i="1" l="1"/>
  <c r="I12" i="1"/>
  <c r="I13" i="1" l="1"/>
  <c r="I14" i="1" l="1"/>
  <c r="I15" i="1" l="1"/>
  <c r="I16" i="1" l="1"/>
  <c r="I17" i="1" l="1"/>
  <c r="I18" i="1" l="1"/>
  <c r="I19" i="1" l="1"/>
  <c r="I20" i="1" l="1"/>
  <c r="I21" i="1" l="1"/>
  <c r="I22" i="1" l="1"/>
</calcChain>
</file>

<file path=xl/sharedStrings.xml><?xml version="1.0" encoding="utf-8"?>
<sst xmlns="http://schemas.openxmlformats.org/spreadsheetml/2006/main" count="26" uniqueCount="18">
  <si>
    <t>Initial amount</t>
  </si>
  <si>
    <t>Interest rate</t>
  </si>
  <si>
    <t xml:space="preserve">Simple Interest </t>
  </si>
  <si>
    <t>t</t>
  </si>
  <si>
    <t>Total Money</t>
  </si>
  <si>
    <t>Interest 
earned money</t>
  </si>
  <si>
    <t>Total
 Money</t>
  </si>
  <si>
    <t>P</t>
  </si>
  <si>
    <t>r</t>
  </si>
  <si>
    <t>Simple Interest</t>
  </si>
  <si>
    <t>Compund Interest</t>
  </si>
  <si>
    <t xml:space="preserve">Simple </t>
  </si>
  <si>
    <t>Compound</t>
  </si>
  <si>
    <t xml:space="preserve">P </t>
  </si>
  <si>
    <t>Interest</t>
  </si>
  <si>
    <t>Column1</t>
  </si>
  <si>
    <t>Column2</t>
  </si>
  <si>
    <t>Time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</si>
</sst>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9" fontId="0" fillId="0" borderId="0" xfId="2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44" fontId="0" fillId="0" borderId="0" xfId="0" applyNumberFormat="1" applyAlignment="1">
      <alignment horizontal="right"/>
    </xf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Interest 
earned money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Sheet1!$I$2:$I$22</c:f>
              <c:numCache>
                <c:formatCode>_("$"* #,##0.00_);_("$"* \(#,##0.00\);_("$"* "-"??_);_(@_)</c:formatCode>
                <c:ptCount val="21"/>
                <c:pt idx="0" formatCode="General">
                  <c:v>0</c:v>
                </c:pt>
                <c:pt idx="1">
                  <c:v>5</c:v>
                </c:pt>
                <c:pt idx="2">
                  <c:v>5.25</c:v>
                </c:pt>
                <c:pt idx="3">
                  <c:v>5.5125000000000002</c:v>
                </c:pt>
                <c:pt idx="4">
                  <c:v>5.7881250000000009</c:v>
                </c:pt>
                <c:pt idx="5">
                  <c:v>6.0775312499999998</c:v>
                </c:pt>
                <c:pt idx="6">
                  <c:v>6.3814078125</c:v>
                </c:pt>
                <c:pt idx="7">
                  <c:v>6.700478203124999</c:v>
                </c:pt>
                <c:pt idx="8">
                  <c:v>7.0355021132812485</c:v>
                </c:pt>
                <c:pt idx="9">
                  <c:v>7.3872772189453109</c:v>
                </c:pt>
                <c:pt idx="10">
                  <c:v>7.7566410798925762</c:v>
                </c:pt>
                <c:pt idx="11">
                  <c:v>8.144473133887205</c:v>
                </c:pt>
                <c:pt idx="12">
                  <c:v>8.5516967905815644</c:v>
                </c:pt>
                <c:pt idx="13">
                  <c:v>8.9792816301106431</c:v>
                </c:pt>
                <c:pt idx="14">
                  <c:v>9.4282457116161762</c:v>
                </c:pt>
                <c:pt idx="15">
                  <c:v>9.899657997196984</c:v>
                </c:pt>
                <c:pt idx="16">
                  <c:v>10.394640897056833</c:v>
                </c:pt>
                <c:pt idx="17">
                  <c:v>10.914372941909676</c:v>
                </c:pt>
                <c:pt idx="18">
                  <c:v>11.46009158900516</c:v>
                </c:pt>
                <c:pt idx="19">
                  <c:v>12.033096168455415</c:v>
                </c:pt>
                <c:pt idx="20">
                  <c:v>12.634750976878188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8C-4BCA-AACF-BE01D111C57F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Total
 Money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Sheet1!$J$2:$J$22</c:f>
              <c:numCache>
                <c:formatCode>_("$"* #,##0.00_);_("$"* \(#,##0.00\);_("$"* "-"??_);_(@_)</c:formatCode>
                <c:ptCount val="21"/>
                <c:pt idx="0">
                  <c:v>100</c:v>
                </c:pt>
                <c:pt idx="1">
                  <c:v>105</c:v>
                </c:pt>
                <c:pt idx="2">
                  <c:v>110.25</c:v>
                </c:pt>
                <c:pt idx="3">
                  <c:v>115.7625</c:v>
                </c:pt>
                <c:pt idx="4">
                  <c:v>121.550625</c:v>
                </c:pt>
                <c:pt idx="5">
                  <c:v>127.62815624999999</c:v>
                </c:pt>
                <c:pt idx="6">
                  <c:v>134.00956406249998</c:v>
                </c:pt>
                <c:pt idx="7">
                  <c:v>140.71004226562496</c:v>
                </c:pt>
                <c:pt idx="8">
                  <c:v>147.7455443789062</c:v>
                </c:pt>
                <c:pt idx="9">
                  <c:v>155.13282159785152</c:v>
                </c:pt>
                <c:pt idx="10">
                  <c:v>162.88946267774409</c:v>
                </c:pt>
                <c:pt idx="11">
                  <c:v>171.0339358116313</c:v>
                </c:pt>
                <c:pt idx="12">
                  <c:v>179.58563260221285</c:v>
                </c:pt>
                <c:pt idx="13">
                  <c:v>188.5649142323235</c:v>
                </c:pt>
                <c:pt idx="14">
                  <c:v>197.99315994393967</c:v>
                </c:pt>
                <c:pt idx="15">
                  <c:v>207.89281794113666</c:v>
                </c:pt>
                <c:pt idx="16">
                  <c:v>218.28745883819349</c:v>
                </c:pt>
                <c:pt idx="17">
                  <c:v>229.20183178010316</c:v>
                </c:pt>
                <c:pt idx="18">
                  <c:v>240.66192336910831</c:v>
                </c:pt>
                <c:pt idx="19">
                  <c:v>252.69501953756372</c:v>
                </c:pt>
                <c:pt idx="20">
                  <c:v>265.32977051444192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8C-4BCA-AACF-BE01D111C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62624"/>
        <c:axId val="1302114240"/>
      </c:scatterChart>
      <c:valAx>
        <c:axId val="94416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14240"/>
        <c:crosses val="autoZero"/>
        <c:crossBetween val="midCat"/>
      </c:valAx>
      <c:valAx>
        <c:axId val="13021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6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Sheet2!$L$2</c:f>
              <c:strCache>
                <c:ptCount val="1"/>
                <c:pt idx="0">
                  <c:v>Simple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Sheet2!$K$3:$K$53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Sheet2!$L$3:$L$53</c:f>
              <c:numCache>
                <c:formatCode>_("$"* #,##0.00_);_("$"* \(#,##0.00\);_("$"* "-"??_);_(@_)</c:formatCode>
                <c:ptCount val="51"/>
                <c:pt idx="0">
                  <c:v>100</c:v>
                </c:pt>
                <c:pt idx="1">
                  <c:v>105</c:v>
                </c:pt>
                <c:pt idx="2">
                  <c:v>110.00000000000001</c:v>
                </c:pt>
                <c:pt idx="3">
                  <c:v>114.99999999999999</c:v>
                </c:pt>
                <c:pt idx="4">
                  <c:v>120</c:v>
                </c:pt>
                <c:pt idx="5">
                  <c:v>125</c:v>
                </c:pt>
                <c:pt idx="6">
                  <c:v>130</c:v>
                </c:pt>
                <c:pt idx="7">
                  <c:v>135</c:v>
                </c:pt>
                <c:pt idx="8">
                  <c:v>140</c:v>
                </c:pt>
                <c:pt idx="9">
                  <c:v>145</c:v>
                </c:pt>
                <c:pt idx="10">
                  <c:v>150</c:v>
                </c:pt>
                <c:pt idx="11">
                  <c:v>155</c:v>
                </c:pt>
                <c:pt idx="12">
                  <c:v>160</c:v>
                </c:pt>
                <c:pt idx="13">
                  <c:v>165</c:v>
                </c:pt>
                <c:pt idx="14">
                  <c:v>170.00000000000003</c:v>
                </c:pt>
                <c:pt idx="15">
                  <c:v>175</c:v>
                </c:pt>
                <c:pt idx="16">
                  <c:v>180</c:v>
                </c:pt>
                <c:pt idx="17">
                  <c:v>185</c:v>
                </c:pt>
                <c:pt idx="18">
                  <c:v>190</c:v>
                </c:pt>
                <c:pt idx="19">
                  <c:v>195.00000000000003</c:v>
                </c:pt>
                <c:pt idx="20">
                  <c:v>200</c:v>
                </c:pt>
                <c:pt idx="21">
                  <c:v>204.99999999999997</c:v>
                </c:pt>
                <c:pt idx="22">
                  <c:v>210</c:v>
                </c:pt>
                <c:pt idx="23">
                  <c:v>215.00000000000003</c:v>
                </c:pt>
                <c:pt idx="24">
                  <c:v>220.00000000000003</c:v>
                </c:pt>
                <c:pt idx="25">
                  <c:v>225</c:v>
                </c:pt>
                <c:pt idx="26">
                  <c:v>229.99999999999997</c:v>
                </c:pt>
                <c:pt idx="27">
                  <c:v>235</c:v>
                </c:pt>
                <c:pt idx="28">
                  <c:v>240.00000000000003</c:v>
                </c:pt>
                <c:pt idx="29">
                  <c:v>245.00000000000003</c:v>
                </c:pt>
                <c:pt idx="30">
                  <c:v>250</c:v>
                </c:pt>
                <c:pt idx="31">
                  <c:v>254.99999999999997</c:v>
                </c:pt>
                <c:pt idx="32">
                  <c:v>260</c:v>
                </c:pt>
                <c:pt idx="33">
                  <c:v>265.00000000000006</c:v>
                </c:pt>
                <c:pt idx="34">
                  <c:v>270</c:v>
                </c:pt>
                <c:pt idx="35">
                  <c:v>275</c:v>
                </c:pt>
                <c:pt idx="36">
                  <c:v>280</c:v>
                </c:pt>
                <c:pt idx="37">
                  <c:v>285</c:v>
                </c:pt>
                <c:pt idx="38">
                  <c:v>290.00000000000006</c:v>
                </c:pt>
                <c:pt idx="39">
                  <c:v>295</c:v>
                </c:pt>
                <c:pt idx="40">
                  <c:v>300</c:v>
                </c:pt>
                <c:pt idx="41">
                  <c:v>305</c:v>
                </c:pt>
                <c:pt idx="42">
                  <c:v>310</c:v>
                </c:pt>
                <c:pt idx="43">
                  <c:v>315</c:v>
                </c:pt>
                <c:pt idx="44">
                  <c:v>320</c:v>
                </c:pt>
                <c:pt idx="45">
                  <c:v>325</c:v>
                </c:pt>
                <c:pt idx="46">
                  <c:v>330</c:v>
                </c:pt>
                <c:pt idx="47">
                  <c:v>335</c:v>
                </c:pt>
                <c:pt idx="48">
                  <c:v>340.00000000000006</c:v>
                </c:pt>
                <c:pt idx="49">
                  <c:v>345</c:v>
                </c:pt>
                <c:pt idx="50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B0-40E8-B61B-3D1C03E7DCC3}"/>
            </c:ext>
          </c:extLst>
        </c:ser>
        <c:ser>
          <c:idx val="1"/>
          <c:order val="1"/>
          <c:tx>
            <c:strRef>
              <c:f>Sheet2!$M$2</c:f>
              <c:strCache>
                <c:ptCount val="1"/>
                <c:pt idx="0">
                  <c:v>Compound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Sheet2!$K$3:$K$53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Sheet2!$M$3:$M$53</c:f>
              <c:numCache>
                <c:formatCode>_("$"* #,##0.00_);_("$"* \(#,##0.00\);_("$"* "-"??_);_(@_)</c:formatCode>
                <c:ptCount val="51"/>
                <c:pt idx="0">
                  <c:v>100</c:v>
                </c:pt>
                <c:pt idx="1">
                  <c:v>105</c:v>
                </c:pt>
                <c:pt idx="2">
                  <c:v>110.25</c:v>
                </c:pt>
                <c:pt idx="3">
                  <c:v>115.76250000000002</c:v>
                </c:pt>
                <c:pt idx="4">
                  <c:v>121.550625</c:v>
                </c:pt>
                <c:pt idx="5">
                  <c:v>127.62815625000002</c:v>
                </c:pt>
                <c:pt idx="6">
                  <c:v>134.0095640625</c:v>
                </c:pt>
                <c:pt idx="7">
                  <c:v>140.71004226562502</c:v>
                </c:pt>
                <c:pt idx="8">
                  <c:v>147.74554437890626</c:v>
                </c:pt>
                <c:pt idx="9">
                  <c:v>155.13282159785157</c:v>
                </c:pt>
                <c:pt idx="10">
                  <c:v>162.88946267774415</c:v>
                </c:pt>
                <c:pt idx="11">
                  <c:v>171.03393581163138</c:v>
                </c:pt>
                <c:pt idx="12">
                  <c:v>179.58563260221291</c:v>
                </c:pt>
                <c:pt idx="13">
                  <c:v>188.56491423232359</c:v>
                </c:pt>
                <c:pt idx="14">
                  <c:v>197.99315994393973</c:v>
                </c:pt>
                <c:pt idx="15">
                  <c:v>207.8928179411368</c:v>
                </c:pt>
                <c:pt idx="16">
                  <c:v>218.2874588381936</c:v>
                </c:pt>
                <c:pt idx="17">
                  <c:v>229.2018317801033</c:v>
                </c:pt>
                <c:pt idx="18">
                  <c:v>240.66192336910848</c:v>
                </c:pt>
                <c:pt idx="19">
                  <c:v>252.69501953756389</c:v>
                </c:pt>
                <c:pt idx="20">
                  <c:v>265.32977051444209</c:v>
                </c:pt>
                <c:pt idx="21">
                  <c:v>278.59625904016417</c:v>
                </c:pt>
                <c:pt idx="22">
                  <c:v>292.52607199217238</c:v>
                </c:pt>
                <c:pt idx="23">
                  <c:v>307.15237559178104</c:v>
                </c:pt>
                <c:pt idx="24">
                  <c:v>322.50999437137006</c:v>
                </c:pt>
                <c:pt idx="25">
                  <c:v>338.63549408993856</c:v>
                </c:pt>
                <c:pt idx="26">
                  <c:v>355.56726879443551</c:v>
                </c:pt>
                <c:pt idx="27">
                  <c:v>373.34563223415734</c:v>
                </c:pt>
                <c:pt idx="28">
                  <c:v>392.01291384586511</c:v>
                </c:pt>
                <c:pt idx="29">
                  <c:v>411.61355953815848</c:v>
                </c:pt>
                <c:pt idx="30">
                  <c:v>432.19423751506622</c:v>
                </c:pt>
                <c:pt idx="31">
                  <c:v>453.80394939081975</c:v>
                </c:pt>
                <c:pt idx="32">
                  <c:v>476.49414686036067</c:v>
                </c:pt>
                <c:pt idx="33">
                  <c:v>500.31885420337875</c:v>
                </c:pt>
                <c:pt idx="34">
                  <c:v>525.33479691354762</c:v>
                </c:pt>
                <c:pt idx="35">
                  <c:v>551.60153675922516</c:v>
                </c:pt>
                <c:pt idx="36">
                  <c:v>579.18161359718624</c:v>
                </c:pt>
                <c:pt idx="37">
                  <c:v>608.14069427704567</c:v>
                </c:pt>
                <c:pt idx="38">
                  <c:v>638.54772899089789</c:v>
                </c:pt>
                <c:pt idx="39">
                  <c:v>670.47511544044289</c:v>
                </c:pt>
                <c:pt idx="40">
                  <c:v>703.99887121246491</c:v>
                </c:pt>
                <c:pt idx="41">
                  <c:v>739.1988147730882</c:v>
                </c:pt>
                <c:pt idx="42">
                  <c:v>776.15875551174258</c:v>
                </c:pt>
                <c:pt idx="43">
                  <c:v>814.9666932873298</c:v>
                </c:pt>
                <c:pt idx="44">
                  <c:v>855.71502795169624</c:v>
                </c:pt>
                <c:pt idx="45">
                  <c:v>898.50077934928117</c:v>
                </c:pt>
                <c:pt idx="46">
                  <c:v>943.42581831674511</c:v>
                </c:pt>
                <c:pt idx="47">
                  <c:v>990.59710923258262</c:v>
                </c:pt>
                <c:pt idx="48">
                  <c:v>1040.1269646942117</c:v>
                </c:pt>
                <c:pt idx="49">
                  <c:v>1092.1333129289224</c:v>
                </c:pt>
                <c:pt idx="50">
                  <c:v>1146.7399785753685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B0-40E8-B61B-3D1C03E7D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447327"/>
        <c:axId val="1047542639"/>
      </c:scatterChart>
      <c:valAx>
        <c:axId val="104744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542639"/>
        <c:crosses val="autoZero"/>
        <c:crossBetween val="midCat"/>
      </c:valAx>
      <c:valAx>
        <c:axId val="104754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447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569117</xdr:colOff>
      <xdr:row>4</xdr:row>
      <xdr:rowOff>176212</xdr:rowOff>
    </xdr:from>
    <xdr:to>
      <xdr:col>17</xdr:col>
      <xdr:colOff>607217</xdr:colOff>
      <xdr:row>20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75B0D-AF7F-3DBE-C38C-F8E9C824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254793</xdr:colOff>
      <xdr:row>1</xdr:row>
      <xdr:rowOff>52386</xdr:rowOff>
    </xdr:from>
    <xdr:to>
      <xdr:col>20</xdr:col>
      <xdr:colOff>14287</xdr:colOff>
      <xdr:row>15</xdr:row>
      <xdr:rowOff>47623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0E850-7AF9-92E3-DF21-D79118F79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B650CE-BA4C-421D-A40D-C65465AAA060}" name="Table4" displayName="Table4" ref="D3:E28" totalsRowShown="0">
  <autoFilter ref="D3:E28" xr:uid="{FCB650CE-BA4C-421D-A40D-C65465AAA060}"/>
  <tableColumns count="2">
    <tableColumn id="1" xr3:uid="{856639AE-F224-4637-8FC7-B5713497FFBD}" name="Time (t)"/>
    <tableColumn id="2" xr3:uid="{CB140A4D-08AA-423A-927A-A67F380E29FF}" name="Interest" dataDxfId="0">
      <calculatedColumnFormula>$B$3*$B$4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32A22F-99D1-47B8-9711-DEC394A65DD8}" name="Table5" displayName="Table5" ref="H3:I29" totalsRowShown="0">
  <autoFilter ref="H3:I29" xr:uid="{1F32A22F-99D1-47B8-9711-DEC394A65DD8}"/>
  <tableColumns count="2">
    <tableColumn id="1" xr3:uid="{15C38C4A-9167-45A0-AEF9-1666D7624D22}" name="Column1"/>
    <tableColumn id="2" xr3:uid="{8C47F8EA-8470-4BBB-AF95-0A46C5A01659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A519-C786-4113-91F4-5E134160EA01}">
  <dimension ref="A1:J22"/>
  <sheetViews>
    <sheetView workbookViewId="0">
      <selection activeCell="E2" sqref="E2"/>
    </sheetView>
  </sheetViews>
  <sheetFormatPr defaultRowHeight="14.25" x14ac:dyDescent="0.45"/>
  <cols>
    <col min="1" max="1" width="12.19921875" customWidth="1"/>
    <col min="4" max="5" width="9.06640625" style="3"/>
    <col min="6" max="6" width="12" customWidth="1"/>
  </cols>
  <sheetData>
    <row r="1" spans="1:10" ht="42.75" x14ac:dyDescent="0.45">
      <c r="A1" t="s">
        <v>0</v>
      </c>
      <c r="B1" s="1">
        <v>100</v>
      </c>
      <c r="D1" s="4" t="s">
        <v>3</v>
      </c>
      <c r="E1" s="5" t="s">
        <v>5</v>
      </c>
      <c r="F1" s="5" t="s">
        <v>6</v>
      </c>
      <c r="H1" s="4" t="s">
        <v>3</v>
      </c>
      <c r="I1" s="5" t="s">
        <v>5</v>
      </c>
      <c r="J1" s="5" t="s">
        <v>6</v>
      </c>
    </row>
    <row r="2" spans="1:10" x14ac:dyDescent="0.45">
      <c r="A2" t="s">
        <v>1</v>
      </c>
      <c r="B2" s="2">
        <v>0.05</v>
      </c>
      <c r="D2" s="3">
        <v>0</v>
      </c>
      <c r="E2" s="3">
        <v>0</v>
      </c>
      <c r="F2" s="1">
        <v>100</v>
      </c>
      <c r="H2">
        <v>0</v>
      </c>
      <c r="I2">
        <v>0</v>
      </c>
      <c r="J2" s="1">
        <v>100</v>
      </c>
    </row>
    <row r="3" spans="1:10" x14ac:dyDescent="0.45">
      <c r="D3" s="3">
        <v>1</v>
      </c>
      <c r="E3" s="6">
        <f>$B$1*$B$2</f>
        <v>5</v>
      </c>
      <c r="F3" s="7">
        <f>F2+E3</f>
        <v>105</v>
      </c>
      <c r="H3">
        <v>1</v>
      </c>
      <c r="I3" s="1">
        <f>100*($B$2*H3)</f>
        <v>5</v>
      </c>
      <c r="J3" s="7">
        <f t="shared" ref="J3:J22" si="0">J2+I3</f>
        <v>105</v>
      </c>
    </row>
    <row r="4" spans="1:10" x14ac:dyDescent="0.45">
      <c r="A4" t="s">
        <v>2</v>
      </c>
      <c r="D4" s="3">
        <v>2</v>
      </c>
      <c r="E4" s="6">
        <f>$B$1*$B$2</f>
        <v>5</v>
      </c>
      <c r="F4" s="7">
        <f>F3+E4</f>
        <v>110</v>
      </c>
      <c r="H4">
        <v>2</v>
      </c>
      <c r="I4" s="1">
        <f t="shared" ref="I4:I11" si="1">J3*$B$2</f>
        <v>5.25</v>
      </c>
      <c r="J4" s="7">
        <f t="shared" si="0"/>
        <v>110.25</v>
      </c>
    </row>
    <row r="5" spans="1:10" x14ac:dyDescent="0.45">
      <c r="D5" s="3">
        <v>3</v>
      </c>
      <c r="E5" s="6">
        <f t="shared" ref="E5:E22" si="2">$B$1*$B$2</f>
        <v>5</v>
      </c>
      <c r="F5" s="7">
        <f t="shared" ref="F5:F22" si="3">F4+E5</f>
        <v>115</v>
      </c>
      <c r="H5">
        <v>3</v>
      </c>
      <c r="I5" s="1">
        <f t="shared" si="1"/>
        <v>5.5125000000000002</v>
      </c>
      <c r="J5" s="7">
        <f t="shared" si="0"/>
        <v>115.7625</v>
      </c>
    </row>
    <row r="6" spans="1:10" x14ac:dyDescent="0.45">
      <c r="D6" s="3">
        <v>4</v>
      </c>
      <c r="E6" s="6">
        <f t="shared" si="2"/>
        <v>5</v>
      </c>
      <c r="F6" s="7">
        <f t="shared" si="3"/>
        <v>120</v>
      </c>
      <c r="H6">
        <v>4</v>
      </c>
      <c r="I6" s="1">
        <f t="shared" si="1"/>
        <v>5.7881250000000009</v>
      </c>
      <c r="J6" s="7">
        <f t="shared" si="0"/>
        <v>121.550625</v>
      </c>
    </row>
    <row r="7" spans="1:10" x14ac:dyDescent="0.45">
      <c r="D7" s="3">
        <v>5</v>
      </c>
      <c r="E7" s="6">
        <f t="shared" si="2"/>
        <v>5</v>
      </c>
      <c r="F7" s="7">
        <f t="shared" si="3"/>
        <v>125</v>
      </c>
      <c r="H7">
        <v>5</v>
      </c>
      <c r="I7" s="1">
        <f t="shared" si="1"/>
        <v>6.0775312499999998</v>
      </c>
      <c r="J7" s="7">
        <f t="shared" si="0"/>
        <v>127.62815624999999</v>
      </c>
    </row>
    <row r="8" spans="1:10" x14ac:dyDescent="0.45">
      <c r="D8" s="3">
        <v>6</v>
      </c>
      <c r="E8" s="6">
        <f t="shared" si="2"/>
        <v>5</v>
      </c>
      <c r="F8" s="7">
        <f t="shared" si="3"/>
        <v>130</v>
      </c>
      <c r="H8">
        <v>6</v>
      </c>
      <c r="I8" s="1">
        <f t="shared" si="1"/>
        <v>6.3814078125</v>
      </c>
      <c r="J8" s="7">
        <f t="shared" si="0"/>
        <v>134.00956406249998</v>
      </c>
    </row>
    <row r="9" spans="1:10" x14ac:dyDescent="0.45">
      <c r="D9" s="3">
        <v>7</v>
      </c>
      <c r="E9" s="6">
        <f t="shared" si="2"/>
        <v>5</v>
      </c>
      <c r="F9" s="7">
        <f t="shared" si="3"/>
        <v>135</v>
      </c>
      <c r="H9">
        <v>7</v>
      </c>
      <c r="I9" s="1">
        <f t="shared" si="1"/>
        <v>6.700478203124999</v>
      </c>
      <c r="J9" s="7">
        <f t="shared" si="0"/>
        <v>140.71004226562496</v>
      </c>
    </row>
    <row r="10" spans="1:10" x14ac:dyDescent="0.45">
      <c r="D10" s="3">
        <v>8</v>
      </c>
      <c r="E10" s="6">
        <f t="shared" si="2"/>
        <v>5</v>
      </c>
      <c r="F10" s="7">
        <f t="shared" si="3"/>
        <v>140</v>
      </c>
      <c r="H10">
        <v>8</v>
      </c>
      <c r="I10" s="1">
        <f t="shared" si="1"/>
        <v>7.0355021132812485</v>
      </c>
      <c r="J10" s="7">
        <f t="shared" si="0"/>
        <v>147.7455443789062</v>
      </c>
    </row>
    <row r="11" spans="1:10" x14ac:dyDescent="0.45">
      <c r="D11" s="3">
        <v>9</v>
      </c>
      <c r="E11" s="6">
        <f t="shared" si="2"/>
        <v>5</v>
      </c>
      <c r="F11" s="7">
        <f t="shared" si="3"/>
        <v>145</v>
      </c>
      <c r="H11">
        <v>9</v>
      </c>
      <c r="I11" s="1">
        <f t="shared" si="1"/>
        <v>7.3872772189453109</v>
      </c>
      <c r="J11" s="7">
        <f t="shared" si="0"/>
        <v>155.13282159785152</v>
      </c>
    </row>
    <row r="12" spans="1:10" x14ac:dyDescent="0.45">
      <c r="D12" s="3">
        <v>10</v>
      </c>
      <c r="E12" s="6">
        <f t="shared" si="2"/>
        <v>5</v>
      </c>
      <c r="F12" s="7">
        <f t="shared" si="3"/>
        <v>150</v>
      </c>
      <c r="H12">
        <v>10</v>
      </c>
      <c r="I12" s="1">
        <f t="shared" ref="I12:I22" si="4">J11*$B$2</f>
        <v>7.7566410798925762</v>
      </c>
      <c r="J12" s="7">
        <f t="shared" si="0"/>
        <v>162.88946267774409</v>
      </c>
    </row>
    <row r="13" spans="1:10" x14ac:dyDescent="0.45">
      <c r="D13" s="3">
        <v>11</v>
      </c>
      <c r="E13" s="6">
        <f t="shared" si="2"/>
        <v>5</v>
      </c>
      <c r="F13" s="7">
        <f t="shared" si="3"/>
        <v>155</v>
      </c>
      <c r="H13">
        <v>11</v>
      </c>
      <c r="I13" s="1">
        <f t="shared" si="4"/>
        <v>8.144473133887205</v>
      </c>
      <c r="J13" s="7">
        <f t="shared" si="0"/>
        <v>171.0339358116313</v>
      </c>
    </row>
    <row r="14" spans="1:10" x14ac:dyDescent="0.45">
      <c r="D14" s="3">
        <v>12</v>
      </c>
      <c r="E14" s="6">
        <f t="shared" si="2"/>
        <v>5</v>
      </c>
      <c r="F14" s="7">
        <f t="shared" si="3"/>
        <v>160</v>
      </c>
      <c r="H14">
        <v>12</v>
      </c>
      <c r="I14" s="1">
        <f t="shared" si="4"/>
        <v>8.5516967905815644</v>
      </c>
      <c r="J14" s="7">
        <f t="shared" si="0"/>
        <v>179.58563260221285</v>
      </c>
    </row>
    <row r="15" spans="1:10" x14ac:dyDescent="0.45">
      <c r="D15" s="3">
        <v>13</v>
      </c>
      <c r="E15" s="6">
        <f t="shared" si="2"/>
        <v>5</v>
      </c>
      <c r="F15" s="7">
        <f t="shared" si="3"/>
        <v>165</v>
      </c>
      <c r="H15">
        <v>13</v>
      </c>
      <c r="I15" s="1">
        <f t="shared" si="4"/>
        <v>8.9792816301106431</v>
      </c>
      <c r="J15" s="7">
        <f t="shared" si="0"/>
        <v>188.5649142323235</v>
      </c>
    </row>
    <row r="16" spans="1:10" x14ac:dyDescent="0.45">
      <c r="D16" s="3">
        <v>14</v>
      </c>
      <c r="E16" s="6">
        <f t="shared" si="2"/>
        <v>5</v>
      </c>
      <c r="F16" s="7">
        <f t="shared" si="3"/>
        <v>170</v>
      </c>
      <c r="H16">
        <v>14</v>
      </c>
      <c r="I16" s="1">
        <f t="shared" si="4"/>
        <v>9.4282457116161762</v>
      </c>
      <c r="J16" s="7">
        <f t="shared" si="0"/>
        <v>197.99315994393967</v>
      </c>
    </row>
    <row r="17" spans="4:10" x14ac:dyDescent="0.45">
      <c r="D17" s="3">
        <v>15</v>
      </c>
      <c r="E17" s="6">
        <f t="shared" si="2"/>
        <v>5</v>
      </c>
      <c r="F17" s="7">
        <f t="shared" si="3"/>
        <v>175</v>
      </c>
      <c r="H17">
        <v>15</v>
      </c>
      <c r="I17" s="1">
        <f t="shared" si="4"/>
        <v>9.899657997196984</v>
      </c>
      <c r="J17" s="7">
        <f t="shared" si="0"/>
        <v>207.89281794113666</v>
      </c>
    </row>
    <row r="18" spans="4:10" x14ac:dyDescent="0.45">
      <c r="D18" s="3">
        <v>16</v>
      </c>
      <c r="E18" s="6">
        <f t="shared" si="2"/>
        <v>5</v>
      </c>
      <c r="F18" s="7">
        <f t="shared" si="3"/>
        <v>180</v>
      </c>
      <c r="H18">
        <v>16</v>
      </c>
      <c r="I18" s="1">
        <f t="shared" si="4"/>
        <v>10.394640897056833</v>
      </c>
      <c r="J18" s="7">
        <f t="shared" si="0"/>
        <v>218.28745883819349</v>
      </c>
    </row>
    <row r="19" spans="4:10" x14ac:dyDescent="0.45">
      <c r="D19" s="3">
        <v>17</v>
      </c>
      <c r="E19" s="6">
        <f t="shared" si="2"/>
        <v>5</v>
      </c>
      <c r="F19" s="7">
        <f t="shared" si="3"/>
        <v>185</v>
      </c>
      <c r="H19">
        <v>17</v>
      </c>
      <c r="I19" s="1">
        <f t="shared" si="4"/>
        <v>10.914372941909676</v>
      </c>
      <c r="J19" s="7">
        <f t="shared" si="0"/>
        <v>229.20183178010316</v>
      </c>
    </row>
    <row r="20" spans="4:10" x14ac:dyDescent="0.45">
      <c r="D20" s="3">
        <v>18</v>
      </c>
      <c r="E20" s="6">
        <f t="shared" si="2"/>
        <v>5</v>
      </c>
      <c r="F20" s="7">
        <f t="shared" si="3"/>
        <v>190</v>
      </c>
      <c r="H20">
        <v>18</v>
      </c>
      <c r="I20" s="1">
        <f t="shared" si="4"/>
        <v>11.46009158900516</v>
      </c>
      <c r="J20" s="7">
        <f t="shared" si="0"/>
        <v>240.66192336910831</v>
      </c>
    </row>
    <row r="21" spans="4:10" x14ac:dyDescent="0.45">
      <c r="D21" s="3">
        <v>19</v>
      </c>
      <c r="E21" s="6">
        <f t="shared" si="2"/>
        <v>5</v>
      </c>
      <c r="F21" s="7">
        <f t="shared" si="3"/>
        <v>195</v>
      </c>
      <c r="H21">
        <v>19</v>
      </c>
      <c r="I21" s="1">
        <f t="shared" si="4"/>
        <v>12.033096168455415</v>
      </c>
      <c r="J21" s="7">
        <f t="shared" si="0"/>
        <v>252.69501953756372</v>
      </c>
    </row>
    <row r="22" spans="4:10" x14ac:dyDescent="0.45">
      <c r="D22" s="3">
        <v>20</v>
      </c>
      <c r="E22" s="6">
        <f t="shared" si="2"/>
        <v>5</v>
      </c>
      <c r="F22" s="7">
        <f t="shared" si="3"/>
        <v>200</v>
      </c>
      <c r="H22">
        <v>20</v>
      </c>
      <c r="I22" s="1">
        <f t="shared" si="4"/>
        <v>12.634750976878188</v>
      </c>
      <c r="J22" s="7">
        <f t="shared" si="0"/>
        <v>265.32977051444192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FDAE-F771-4532-AA1E-513560B2E584}">
  <dimension ref="A1:M53"/>
  <sheetViews>
    <sheetView workbookViewId="0">
      <selection activeCell="E2" sqref="E2"/>
    </sheetView>
  </sheetViews>
  <sheetFormatPr defaultRowHeight="14.25" x14ac:dyDescent="0.45"/>
  <cols>
    <col min="5" max="5" width="11.73046875" customWidth="1"/>
    <col min="12" max="12" width="13.265625" customWidth="1"/>
    <col min="13" max="13" width="11.6640625" customWidth="1"/>
  </cols>
  <sheetData>
    <row r="1" spans="1:13" x14ac:dyDescent="0.45">
      <c r="D1" t="s">
        <v>9</v>
      </c>
      <c r="G1" t="s">
        <v>10</v>
      </c>
    </row>
    <row r="2" spans="1:13" x14ac:dyDescent="0.45">
      <c r="A2" t="s">
        <v>7</v>
      </c>
      <c r="B2" s="1">
        <v>100</v>
      </c>
      <c r="D2" s="3" t="s">
        <v>3</v>
      </c>
      <c r="E2" t="s">
        <v>4</v>
      </c>
      <c r="G2" s="3" t="s">
        <v>3</v>
      </c>
      <c r="H2" t="s">
        <v>4</v>
      </c>
      <c r="K2" s="3" t="s">
        <v>3</v>
      </c>
      <c r="L2" t="s">
        <v>11</v>
      </c>
      <c r="M2" t="s">
        <v>12</v>
      </c>
    </row>
    <row r="3" spans="1:13" x14ac:dyDescent="0.45">
      <c r="A3" t="s">
        <v>8</v>
      </c>
      <c r="B3" s="2">
        <v>0.05</v>
      </c>
      <c r="D3">
        <v>0</v>
      </c>
      <c r="E3" s="7">
        <f>$B$2*(1+$B$3*D3)</f>
        <v>100</v>
      </c>
      <c r="G3">
        <v>0</v>
      </c>
      <c r="H3" s="7">
        <f>$B$2*(1+$B$3)^G3</f>
        <v>100</v>
      </c>
      <c r="K3">
        <v>0</v>
      </c>
      <c r="L3" s="7">
        <f>$B$2*(1+$B$3*K3)</f>
        <v>100</v>
      </c>
      <c r="M3" s="7">
        <f>$B$2*(1+$B$3)^K3</f>
        <v>100</v>
      </c>
    </row>
    <row r="4" spans="1:13" x14ac:dyDescent="0.45">
      <c r="D4">
        <v>1</v>
      </c>
      <c r="E4" s="7">
        <f t="shared" ref="E4:E23" si="0">$B$2*(1+$B$3*D4)</f>
        <v>105</v>
      </c>
      <c r="G4">
        <v>1</v>
      </c>
      <c r="H4" s="7">
        <f>$B$2*(1+$B$3)^G4</f>
        <v>105</v>
      </c>
      <c r="K4">
        <v>1</v>
      </c>
      <c r="L4" s="7">
        <f t="shared" ref="L4:L53" si="1">$B$2*(1+$B$3*K4)</f>
        <v>105</v>
      </c>
      <c r="M4" s="7">
        <f t="shared" ref="M4:M53" si="2">$B$2*(1+$B$3)^K4</f>
        <v>105</v>
      </c>
    </row>
    <row r="5" spans="1:13" x14ac:dyDescent="0.45">
      <c r="D5">
        <v>2</v>
      </c>
      <c r="E5" s="7">
        <f t="shared" si="0"/>
        <v>110.00000000000001</v>
      </c>
      <c r="G5">
        <v>2</v>
      </c>
      <c r="H5" s="7">
        <f>$B$2*(1+$B$3)^G5</f>
        <v>110.25</v>
      </c>
      <c r="K5">
        <v>2</v>
      </c>
      <c r="L5" s="7">
        <f t="shared" si="1"/>
        <v>110.00000000000001</v>
      </c>
      <c r="M5" s="7">
        <f t="shared" si="2"/>
        <v>110.25</v>
      </c>
    </row>
    <row r="6" spans="1:13" x14ac:dyDescent="0.45">
      <c r="D6">
        <v>3</v>
      </c>
      <c r="E6" s="7">
        <f t="shared" si="0"/>
        <v>114.99999999999999</v>
      </c>
      <c r="G6">
        <v>3</v>
      </c>
      <c r="H6" s="7">
        <f t="shared" ref="H6:H23" si="3">$B$2*(1+$B$3)^G6</f>
        <v>115.76250000000002</v>
      </c>
      <c r="K6">
        <v>3</v>
      </c>
      <c r="L6" s="7">
        <f t="shared" si="1"/>
        <v>114.99999999999999</v>
      </c>
      <c r="M6" s="7">
        <f t="shared" si="2"/>
        <v>115.76250000000002</v>
      </c>
    </row>
    <row r="7" spans="1:13" x14ac:dyDescent="0.45">
      <c r="D7">
        <v>4</v>
      </c>
      <c r="E7" s="7">
        <f t="shared" si="0"/>
        <v>120</v>
      </c>
      <c r="G7">
        <v>4</v>
      </c>
      <c r="H7" s="7">
        <f t="shared" si="3"/>
        <v>121.550625</v>
      </c>
      <c r="K7">
        <v>4</v>
      </c>
      <c r="L7" s="7">
        <f t="shared" si="1"/>
        <v>120</v>
      </c>
      <c r="M7" s="7">
        <f t="shared" si="2"/>
        <v>121.550625</v>
      </c>
    </row>
    <row r="8" spans="1:13" x14ac:dyDescent="0.45">
      <c r="D8">
        <v>5</v>
      </c>
      <c r="E8" s="7">
        <f t="shared" si="0"/>
        <v>125</v>
      </c>
      <c r="G8">
        <v>5</v>
      </c>
      <c r="H8" s="7">
        <f t="shared" si="3"/>
        <v>127.62815625000002</v>
      </c>
      <c r="K8">
        <v>5</v>
      </c>
      <c r="L8" s="7">
        <f t="shared" si="1"/>
        <v>125</v>
      </c>
      <c r="M8" s="7">
        <f t="shared" si="2"/>
        <v>127.62815625000002</v>
      </c>
    </row>
    <row r="9" spans="1:13" x14ac:dyDescent="0.45">
      <c r="D9">
        <v>6</v>
      </c>
      <c r="E9" s="7">
        <f t="shared" si="0"/>
        <v>130</v>
      </c>
      <c r="G9">
        <v>6</v>
      </c>
      <c r="H9" s="7">
        <f t="shared" si="3"/>
        <v>134.0095640625</v>
      </c>
      <c r="K9">
        <v>6</v>
      </c>
      <c r="L9" s="7">
        <f t="shared" si="1"/>
        <v>130</v>
      </c>
      <c r="M9" s="7">
        <f t="shared" si="2"/>
        <v>134.0095640625</v>
      </c>
    </row>
    <row r="10" spans="1:13" x14ac:dyDescent="0.45">
      <c r="D10">
        <v>7</v>
      </c>
      <c r="E10" s="7">
        <f t="shared" si="0"/>
        <v>135</v>
      </c>
      <c r="G10">
        <v>7</v>
      </c>
      <c r="H10" s="7">
        <f t="shared" si="3"/>
        <v>140.71004226562502</v>
      </c>
      <c r="K10">
        <v>7</v>
      </c>
      <c r="L10" s="7">
        <f t="shared" si="1"/>
        <v>135</v>
      </c>
      <c r="M10" s="7">
        <f t="shared" si="2"/>
        <v>140.71004226562502</v>
      </c>
    </row>
    <row r="11" spans="1:13" x14ac:dyDescent="0.45">
      <c r="D11">
        <v>8</v>
      </c>
      <c r="E11" s="7">
        <f t="shared" si="0"/>
        <v>140</v>
      </c>
      <c r="G11">
        <v>8</v>
      </c>
      <c r="H11" s="7">
        <f t="shared" si="3"/>
        <v>147.74554437890626</v>
      </c>
      <c r="K11">
        <v>8</v>
      </c>
      <c r="L11" s="7">
        <f t="shared" si="1"/>
        <v>140</v>
      </c>
      <c r="M11" s="7">
        <f t="shared" si="2"/>
        <v>147.74554437890626</v>
      </c>
    </row>
    <row r="12" spans="1:13" x14ac:dyDescent="0.45">
      <c r="D12">
        <v>9</v>
      </c>
      <c r="E12" s="7">
        <f t="shared" si="0"/>
        <v>145</v>
      </c>
      <c r="G12">
        <v>9</v>
      </c>
      <c r="H12" s="7">
        <f t="shared" si="3"/>
        <v>155.13282159785157</v>
      </c>
      <c r="K12">
        <v>9</v>
      </c>
      <c r="L12" s="7">
        <f t="shared" si="1"/>
        <v>145</v>
      </c>
      <c r="M12" s="7">
        <f t="shared" si="2"/>
        <v>155.13282159785157</v>
      </c>
    </row>
    <row r="13" spans="1:13" x14ac:dyDescent="0.45">
      <c r="D13">
        <v>10</v>
      </c>
      <c r="E13" s="7">
        <f t="shared" si="0"/>
        <v>150</v>
      </c>
      <c r="G13">
        <v>10</v>
      </c>
      <c r="H13" s="7">
        <f t="shared" si="3"/>
        <v>162.88946267774415</v>
      </c>
      <c r="K13">
        <v>10</v>
      </c>
      <c r="L13" s="7">
        <f t="shared" si="1"/>
        <v>150</v>
      </c>
      <c r="M13" s="7">
        <f t="shared" si="2"/>
        <v>162.88946267774415</v>
      </c>
    </row>
    <row r="14" spans="1:13" x14ac:dyDescent="0.45">
      <c r="D14">
        <v>11</v>
      </c>
      <c r="E14" s="7">
        <f t="shared" si="0"/>
        <v>155</v>
      </c>
      <c r="G14">
        <v>11</v>
      </c>
      <c r="H14" s="7">
        <f t="shared" si="3"/>
        <v>171.03393581163138</v>
      </c>
      <c r="K14">
        <v>11</v>
      </c>
      <c r="L14" s="7">
        <f t="shared" si="1"/>
        <v>155</v>
      </c>
      <c r="M14" s="7">
        <f t="shared" si="2"/>
        <v>171.03393581163138</v>
      </c>
    </row>
    <row r="15" spans="1:13" x14ac:dyDescent="0.45">
      <c r="D15">
        <v>12</v>
      </c>
      <c r="E15" s="7">
        <f t="shared" si="0"/>
        <v>160</v>
      </c>
      <c r="G15">
        <v>12</v>
      </c>
      <c r="H15" s="7">
        <f t="shared" si="3"/>
        <v>179.58563260221291</v>
      </c>
      <c r="K15">
        <v>12</v>
      </c>
      <c r="L15" s="7">
        <f t="shared" si="1"/>
        <v>160</v>
      </c>
      <c r="M15" s="7">
        <f t="shared" si="2"/>
        <v>179.58563260221291</v>
      </c>
    </row>
    <row r="16" spans="1:13" x14ac:dyDescent="0.45">
      <c r="D16">
        <v>13</v>
      </c>
      <c r="E16" s="7">
        <f t="shared" si="0"/>
        <v>165</v>
      </c>
      <c r="G16">
        <v>13</v>
      </c>
      <c r="H16" s="7">
        <f t="shared" si="3"/>
        <v>188.56491423232359</v>
      </c>
      <c r="K16">
        <v>13</v>
      </c>
      <c r="L16" s="7">
        <f t="shared" si="1"/>
        <v>165</v>
      </c>
      <c r="M16" s="7">
        <f t="shared" si="2"/>
        <v>188.56491423232359</v>
      </c>
    </row>
    <row r="17" spans="4:13" x14ac:dyDescent="0.45">
      <c r="D17">
        <v>14</v>
      </c>
      <c r="E17" s="7">
        <f t="shared" si="0"/>
        <v>170.00000000000003</v>
      </c>
      <c r="G17">
        <v>14</v>
      </c>
      <c r="H17" s="7">
        <f t="shared" si="3"/>
        <v>197.99315994393973</v>
      </c>
      <c r="K17">
        <v>14</v>
      </c>
      <c r="L17" s="7">
        <f t="shared" si="1"/>
        <v>170.00000000000003</v>
      </c>
      <c r="M17" s="7">
        <f t="shared" si="2"/>
        <v>197.99315994393973</v>
      </c>
    </row>
    <row r="18" spans="4:13" x14ac:dyDescent="0.45">
      <c r="D18">
        <v>15</v>
      </c>
      <c r="E18" s="7">
        <f t="shared" si="0"/>
        <v>175</v>
      </c>
      <c r="G18">
        <v>15</v>
      </c>
      <c r="H18" s="7">
        <f t="shared" si="3"/>
        <v>207.8928179411368</v>
      </c>
      <c r="K18">
        <v>15</v>
      </c>
      <c r="L18" s="7">
        <f t="shared" si="1"/>
        <v>175</v>
      </c>
      <c r="M18" s="7">
        <f t="shared" si="2"/>
        <v>207.8928179411368</v>
      </c>
    </row>
    <row r="19" spans="4:13" x14ac:dyDescent="0.45">
      <c r="D19">
        <v>16</v>
      </c>
      <c r="E19" s="7">
        <f t="shared" si="0"/>
        <v>180</v>
      </c>
      <c r="G19">
        <v>16</v>
      </c>
      <c r="H19" s="7">
        <f t="shared" si="3"/>
        <v>218.2874588381936</v>
      </c>
      <c r="K19">
        <v>16</v>
      </c>
      <c r="L19" s="7">
        <f t="shared" si="1"/>
        <v>180</v>
      </c>
      <c r="M19" s="7">
        <f t="shared" si="2"/>
        <v>218.2874588381936</v>
      </c>
    </row>
    <row r="20" spans="4:13" x14ac:dyDescent="0.45">
      <c r="D20">
        <v>17</v>
      </c>
      <c r="E20" s="7">
        <f t="shared" si="0"/>
        <v>185</v>
      </c>
      <c r="G20">
        <v>17</v>
      </c>
      <c r="H20" s="7">
        <f t="shared" si="3"/>
        <v>229.2018317801033</v>
      </c>
      <c r="K20">
        <v>17</v>
      </c>
      <c r="L20" s="7">
        <f t="shared" si="1"/>
        <v>185</v>
      </c>
      <c r="M20" s="7">
        <f t="shared" si="2"/>
        <v>229.2018317801033</v>
      </c>
    </row>
    <row r="21" spans="4:13" x14ac:dyDescent="0.45">
      <c r="D21">
        <v>18</v>
      </c>
      <c r="E21" s="7">
        <f t="shared" si="0"/>
        <v>190</v>
      </c>
      <c r="G21">
        <v>18</v>
      </c>
      <c r="H21" s="7">
        <f t="shared" si="3"/>
        <v>240.66192336910848</v>
      </c>
      <c r="K21">
        <v>18</v>
      </c>
      <c r="L21" s="7">
        <f t="shared" si="1"/>
        <v>190</v>
      </c>
      <c r="M21" s="7">
        <f t="shared" si="2"/>
        <v>240.66192336910848</v>
      </c>
    </row>
    <row r="22" spans="4:13" x14ac:dyDescent="0.45">
      <c r="D22">
        <v>19</v>
      </c>
      <c r="E22" s="7">
        <f t="shared" si="0"/>
        <v>195.00000000000003</v>
      </c>
      <c r="G22">
        <v>19</v>
      </c>
      <c r="H22" s="7">
        <f t="shared" si="3"/>
        <v>252.69501953756389</v>
      </c>
      <c r="K22">
        <v>19</v>
      </c>
      <c r="L22" s="7">
        <f t="shared" si="1"/>
        <v>195.00000000000003</v>
      </c>
      <c r="M22" s="7">
        <f t="shared" si="2"/>
        <v>252.69501953756389</v>
      </c>
    </row>
    <row r="23" spans="4:13" x14ac:dyDescent="0.45">
      <c r="D23">
        <v>20</v>
      </c>
      <c r="E23" s="7">
        <f t="shared" si="0"/>
        <v>200</v>
      </c>
      <c r="G23">
        <v>20</v>
      </c>
      <c r="H23" s="7">
        <f t="shared" si="3"/>
        <v>265.32977051444209</v>
      </c>
      <c r="K23">
        <v>20</v>
      </c>
      <c r="L23" s="7">
        <f t="shared" si="1"/>
        <v>200</v>
      </c>
      <c r="M23" s="7">
        <f t="shared" si="2"/>
        <v>265.32977051444209</v>
      </c>
    </row>
    <row r="24" spans="4:13" x14ac:dyDescent="0.45">
      <c r="K24">
        <v>21</v>
      </c>
      <c r="L24" s="7">
        <f t="shared" si="1"/>
        <v>204.99999999999997</v>
      </c>
      <c r="M24" s="7">
        <f t="shared" si="2"/>
        <v>278.59625904016417</v>
      </c>
    </row>
    <row r="25" spans="4:13" x14ac:dyDescent="0.45">
      <c r="K25">
        <v>22</v>
      </c>
      <c r="L25" s="7">
        <f t="shared" si="1"/>
        <v>210</v>
      </c>
      <c r="M25" s="7">
        <f t="shared" si="2"/>
        <v>292.52607199217238</v>
      </c>
    </row>
    <row r="26" spans="4:13" x14ac:dyDescent="0.45">
      <c r="K26">
        <v>23</v>
      </c>
      <c r="L26" s="7">
        <f t="shared" si="1"/>
        <v>215.00000000000003</v>
      </c>
      <c r="M26" s="7">
        <f t="shared" si="2"/>
        <v>307.15237559178104</v>
      </c>
    </row>
    <row r="27" spans="4:13" x14ac:dyDescent="0.45">
      <c r="K27">
        <v>24</v>
      </c>
      <c r="L27" s="7">
        <f t="shared" si="1"/>
        <v>220.00000000000003</v>
      </c>
      <c r="M27" s="7">
        <f t="shared" si="2"/>
        <v>322.50999437137006</v>
      </c>
    </row>
    <row r="28" spans="4:13" x14ac:dyDescent="0.45">
      <c r="K28">
        <v>25</v>
      </c>
      <c r="L28" s="7">
        <f t="shared" si="1"/>
        <v>225</v>
      </c>
      <c r="M28" s="7">
        <f t="shared" si="2"/>
        <v>338.63549408993856</v>
      </c>
    </row>
    <row r="29" spans="4:13" x14ac:dyDescent="0.45">
      <c r="K29">
        <v>26</v>
      </c>
      <c r="L29" s="7">
        <f t="shared" si="1"/>
        <v>229.99999999999997</v>
      </c>
      <c r="M29" s="7">
        <f t="shared" si="2"/>
        <v>355.56726879443551</v>
      </c>
    </row>
    <row r="30" spans="4:13" x14ac:dyDescent="0.45">
      <c r="K30">
        <v>27</v>
      </c>
      <c r="L30" s="7">
        <f t="shared" si="1"/>
        <v>235</v>
      </c>
      <c r="M30" s="7">
        <f t="shared" si="2"/>
        <v>373.34563223415734</v>
      </c>
    </row>
    <row r="31" spans="4:13" x14ac:dyDescent="0.45">
      <c r="K31">
        <v>28</v>
      </c>
      <c r="L31" s="7">
        <f t="shared" si="1"/>
        <v>240.00000000000003</v>
      </c>
      <c r="M31" s="7">
        <f t="shared" si="2"/>
        <v>392.01291384586511</v>
      </c>
    </row>
    <row r="32" spans="4:13" x14ac:dyDescent="0.45">
      <c r="K32">
        <v>29</v>
      </c>
      <c r="L32" s="7">
        <f t="shared" si="1"/>
        <v>245.00000000000003</v>
      </c>
      <c r="M32" s="7">
        <f t="shared" si="2"/>
        <v>411.61355953815848</v>
      </c>
    </row>
    <row r="33" spans="11:13" x14ac:dyDescent="0.45">
      <c r="K33">
        <v>30</v>
      </c>
      <c r="L33" s="7">
        <f t="shared" si="1"/>
        <v>250</v>
      </c>
      <c r="M33" s="7">
        <f t="shared" si="2"/>
        <v>432.19423751506622</v>
      </c>
    </row>
    <row r="34" spans="11:13" x14ac:dyDescent="0.45">
      <c r="K34">
        <v>31</v>
      </c>
      <c r="L34" s="7">
        <f t="shared" si="1"/>
        <v>254.99999999999997</v>
      </c>
      <c r="M34" s="7">
        <f t="shared" si="2"/>
        <v>453.80394939081975</v>
      </c>
    </row>
    <row r="35" spans="11:13" x14ac:dyDescent="0.45">
      <c r="K35">
        <v>32</v>
      </c>
      <c r="L35" s="7">
        <f t="shared" si="1"/>
        <v>260</v>
      </c>
      <c r="M35" s="7">
        <f t="shared" si="2"/>
        <v>476.49414686036067</v>
      </c>
    </row>
    <row r="36" spans="11:13" x14ac:dyDescent="0.45">
      <c r="K36">
        <v>33</v>
      </c>
      <c r="L36" s="7">
        <f t="shared" si="1"/>
        <v>265.00000000000006</v>
      </c>
      <c r="M36" s="7">
        <f t="shared" si="2"/>
        <v>500.31885420337875</v>
      </c>
    </row>
    <row r="37" spans="11:13" x14ac:dyDescent="0.45">
      <c r="K37">
        <v>34</v>
      </c>
      <c r="L37" s="7">
        <f t="shared" si="1"/>
        <v>270</v>
      </c>
      <c r="M37" s="7">
        <f t="shared" si="2"/>
        <v>525.33479691354762</v>
      </c>
    </row>
    <row r="38" spans="11:13" x14ac:dyDescent="0.45">
      <c r="K38">
        <v>35</v>
      </c>
      <c r="L38" s="7">
        <f t="shared" si="1"/>
        <v>275</v>
      </c>
      <c r="M38" s="7">
        <f t="shared" si="2"/>
        <v>551.60153675922516</v>
      </c>
    </row>
    <row r="39" spans="11:13" x14ac:dyDescent="0.45">
      <c r="K39">
        <v>36</v>
      </c>
      <c r="L39" s="7">
        <f t="shared" si="1"/>
        <v>280</v>
      </c>
      <c r="M39" s="7">
        <f t="shared" si="2"/>
        <v>579.18161359718624</v>
      </c>
    </row>
    <row r="40" spans="11:13" x14ac:dyDescent="0.45">
      <c r="K40">
        <v>37</v>
      </c>
      <c r="L40" s="7">
        <f t="shared" si="1"/>
        <v>285</v>
      </c>
      <c r="M40" s="7">
        <f t="shared" si="2"/>
        <v>608.14069427704567</v>
      </c>
    </row>
    <row r="41" spans="11:13" x14ac:dyDescent="0.45">
      <c r="K41">
        <v>38</v>
      </c>
      <c r="L41" s="7">
        <f t="shared" si="1"/>
        <v>290.00000000000006</v>
      </c>
      <c r="M41" s="7">
        <f t="shared" si="2"/>
        <v>638.54772899089789</v>
      </c>
    </row>
    <row r="42" spans="11:13" x14ac:dyDescent="0.45">
      <c r="K42">
        <v>39</v>
      </c>
      <c r="L42" s="7">
        <f t="shared" si="1"/>
        <v>295</v>
      </c>
      <c r="M42" s="7">
        <f t="shared" si="2"/>
        <v>670.47511544044289</v>
      </c>
    </row>
    <row r="43" spans="11:13" x14ac:dyDescent="0.45">
      <c r="K43">
        <v>40</v>
      </c>
      <c r="L43" s="7">
        <f t="shared" si="1"/>
        <v>300</v>
      </c>
      <c r="M43" s="7">
        <f t="shared" si="2"/>
        <v>703.99887121246491</v>
      </c>
    </row>
    <row r="44" spans="11:13" x14ac:dyDescent="0.45">
      <c r="K44">
        <v>41</v>
      </c>
      <c r="L44" s="7">
        <f t="shared" si="1"/>
        <v>305</v>
      </c>
      <c r="M44" s="7">
        <f t="shared" si="2"/>
        <v>739.1988147730882</v>
      </c>
    </row>
    <row r="45" spans="11:13" x14ac:dyDescent="0.45">
      <c r="K45">
        <v>42</v>
      </c>
      <c r="L45" s="7">
        <f t="shared" si="1"/>
        <v>310</v>
      </c>
      <c r="M45" s="7">
        <f t="shared" si="2"/>
        <v>776.15875551174258</v>
      </c>
    </row>
    <row r="46" spans="11:13" x14ac:dyDescent="0.45">
      <c r="K46">
        <v>43</v>
      </c>
      <c r="L46" s="7">
        <f t="shared" si="1"/>
        <v>315</v>
      </c>
      <c r="M46" s="7">
        <f t="shared" si="2"/>
        <v>814.9666932873298</v>
      </c>
    </row>
    <row r="47" spans="11:13" x14ac:dyDescent="0.45">
      <c r="K47">
        <v>44</v>
      </c>
      <c r="L47" s="7">
        <f t="shared" si="1"/>
        <v>320</v>
      </c>
      <c r="M47" s="7">
        <f t="shared" si="2"/>
        <v>855.71502795169624</v>
      </c>
    </row>
    <row r="48" spans="11:13" x14ac:dyDescent="0.45">
      <c r="K48">
        <v>45</v>
      </c>
      <c r="L48" s="7">
        <f t="shared" si="1"/>
        <v>325</v>
      </c>
      <c r="M48" s="7">
        <f t="shared" si="2"/>
        <v>898.50077934928117</v>
      </c>
    </row>
    <row r="49" spans="11:13" x14ac:dyDescent="0.45">
      <c r="K49">
        <v>46</v>
      </c>
      <c r="L49" s="7">
        <f t="shared" si="1"/>
        <v>330</v>
      </c>
      <c r="M49" s="7">
        <f t="shared" si="2"/>
        <v>943.42581831674511</v>
      </c>
    </row>
    <row r="50" spans="11:13" x14ac:dyDescent="0.45">
      <c r="K50">
        <v>47</v>
      </c>
      <c r="L50" s="7">
        <f t="shared" si="1"/>
        <v>335</v>
      </c>
      <c r="M50" s="7">
        <f t="shared" si="2"/>
        <v>990.59710923258262</v>
      </c>
    </row>
    <row r="51" spans="11:13" x14ac:dyDescent="0.45">
      <c r="K51">
        <v>48</v>
      </c>
      <c r="L51" s="7">
        <f t="shared" si="1"/>
        <v>340.00000000000006</v>
      </c>
      <c r="M51" s="7">
        <f t="shared" si="2"/>
        <v>1040.1269646942117</v>
      </c>
    </row>
    <row r="52" spans="11:13" x14ac:dyDescent="0.45">
      <c r="K52">
        <v>49</v>
      </c>
      <c r="L52" s="7">
        <f t="shared" si="1"/>
        <v>345</v>
      </c>
      <c r="M52" s="7">
        <f t="shared" si="2"/>
        <v>1092.1333129289224</v>
      </c>
    </row>
    <row r="53" spans="11:13" x14ac:dyDescent="0.45">
      <c r="K53">
        <v>50</v>
      </c>
      <c r="L53" s="7">
        <f t="shared" si="1"/>
        <v>350</v>
      </c>
      <c r="M53" s="7">
        <f t="shared" si="2"/>
        <v>1146.7399785753685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9F56-F064-4A60-B5DB-B5D6345E0ABA}">
  <dimension ref="A3:I28"/>
  <sheetViews>
    <sheetView tabSelected="1" workbookViewId="0">
      <selection activeCell="H4" sqref="H4"/>
    </sheetView>
  </sheetViews>
  <sheetFormatPr defaultRowHeight="14.25" x14ac:dyDescent="0.45"/>
  <cols>
    <col min="4" max="4" width="17.9296875" customWidth="1"/>
    <col min="5" max="5" width="14.86328125" customWidth="1"/>
    <col min="8" max="9" width="9.86328125" customWidth="1"/>
  </cols>
  <sheetData>
    <row r="3" spans="1:9" x14ac:dyDescent="0.45">
      <c r="A3" t="s">
        <v>13</v>
      </c>
      <c r="B3">
        <v>100</v>
      </c>
      <c r="D3" t="s">
        <v>17</v>
      </c>
      <c r="E3" t="s">
        <v>14</v>
      </c>
      <c r="H3" t="s">
        <v>15</v>
      </c>
      <c r="I3" t="s">
        <v>16</v>
      </c>
    </row>
    <row r="4" spans="1:9" x14ac:dyDescent="0.45">
      <c r="A4" t="s">
        <v>8</v>
      </c>
      <c r="B4">
        <v>0.05</v>
      </c>
      <c r="D4">
        <v>1</v>
      </c>
      <c r="E4">
        <f t="shared" ref="E4:E28" si="0">$B$3*$B$4</f>
        <v>5</v>
      </c>
      <c r="H4">
        <v>1</v>
      </c>
    </row>
    <row r="5" spans="1:9" x14ac:dyDescent="0.45">
      <c r="D5">
        <v>2</v>
      </c>
      <c r="E5">
        <f t="shared" si="0"/>
        <v>5</v>
      </c>
      <c r="H5">
        <v>2</v>
      </c>
    </row>
    <row r="6" spans="1:9" x14ac:dyDescent="0.45">
      <c r="D6">
        <v>3</v>
      </c>
      <c r="E6">
        <f t="shared" si="0"/>
        <v>5</v>
      </c>
    </row>
    <row r="7" spans="1:9" x14ac:dyDescent="0.45">
      <c r="D7">
        <v>4</v>
      </c>
      <c r="E7">
        <f t="shared" si="0"/>
        <v>5</v>
      </c>
    </row>
    <row r="8" spans="1:9" x14ac:dyDescent="0.45">
      <c r="D8">
        <v>5</v>
      </c>
      <c r="E8">
        <f t="shared" si="0"/>
        <v>5</v>
      </c>
    </row>
    <row r="9" spans="1:9" x14ac:dyDescent="0.45">
      <c r="D9">
        <v>6</v>
      </c>
      <c r="E9">
        <f t="shared" si="0"/>
        <v>5</v>
      </c>
    </row>
    <row r="10" spans="1:9" x14ac:dyDescent="0.45">
      <c r="D10">
        <v>7</v>
      </c>
      <c r="E10">
        <f t="shared" si="0"/>
        <v>5</v>
      </c>
    </row>
    <row r="11" spans="1:9" x14ac:dyDescent="0.45">
      <c r="D11">
        <v>8</v>
      </c>
      <c r="E11">
        <f t="shared" si="0"/>
        <v>5</v>
      </c>
    </row>
    <row r="12" spans="1:9" x14ac:dyDescent="0.45">
      <c r="D12">
        <v>9</v>
      </c>
      <c r="E12">
        <f t="shared" si="0"/>
        <v>5</v>
      </c>
    </row>
    <row r="13" spans="1:9" x14ac:dyDescent="0.45">
      <c r="D13">
        <v>10</v>
      </c>
      <c r="E13">
        <f t="shared" si="0"/>
        <v>5</v>
      </c>
    </row>
    <row r="14" spans="1:9" x14ac:dyDescent="0.45">
      <c r="D14">
        <v>11</v>
      </c>
      <c r="E14">
        <f t="shared" si="0"/>
        <v>5</v>
      </c>
    </row>
    <row r="15" spans="1:9" x14ac:dyDescent="0.45">
      <c r="D15">
        <v>12</v>
      </c>
      <c r="E15">
        <f t="shared" si="0"/>
        <v>5</v>
      </c>
    </row>
    <row r="16" spans="1:9" x14ac:dyDescent="0.45">
      <c r="D16">
        <v>13</v>
      </c>
      <c r="E16">
        <f t="shared" si="0"/>
        <v>5</v>
      </c>
    </row>
    <row r="17" spans="4:5" x14ac:dyDescent="0.45">
      <c r="D17">
        <v>14</v>
      </c>
      <c r="E17">
        <f t="shared" si="0"/>
        <v>5</v>
      </c>
    </row>
    <row r="18" spans="4:5" x14ac:dyDescent="0.45">
      <c r="D18">
        <v>15</v>
      </c>
      <c r="E18">
        <f t="shared" si="0"/>
        <v>5</v>
      </c>
    </row>
    <row r="19" spans="4:5" x14ac:dyDescent="0.45">
      <c r="D19">
        <v>16</v>
      </c>
      <c r="E19">
        <f t="shared" si="0"/>
        <v>5</v>
      </c>
    </row>
    <row r="20" spans="4:5" x14ac:dyDescent="0.45">
      <c r="D20">
        <v>17</v>
      </c>
      <c r="E20">
        <f t="shared" si="0"/>
        <v>5</v>
      </c>
    </row>
    <row r="21" spans="4:5" x14ac:dyDescent="0.45">
      <c r="D21">
        <v>18</v>
      </c>
      <c r="E21">
        <f t="shared" si="0"/>
        <v>5</v>
      </c>
    </row>
    <row r="22" spans="4:5" x14ac:dyDescent="0.45">
      <c r="D22">
        <v>19</v>
      </c>
      <c r="E22">
        <f t="shared" si="0"/>
        <v>5</v>
      </c>
    </row>
    <row r="23" spans="4:5" x14ac:dyDescent="0.45">
      <c r="D23">
        <v>20</v>
      </c>
      <c r="E23">
        <f t="shared" si="0"/>
        <v>5</v>
      </c>
    </row>
    <row r="24" spans="4:5" x14ac:dyDescent="0.45">
      <c r="D24">
        <v>21</v>
      </c>
      <c r="E24">
        <f t="shared" si="0"/>
        <v>5</v>
      </c>
    </row>
    <row r="25" spans="4:5" x14ac:dyDescent="0.45">
      <c r="D25">
        <v>22</v>
      </c>
      <c r="E25">
        <f t="shared" si="0"/>
        <v>5</v>
      </c>
    </row>
    <row r="26" spans="4:5" x14ac:dyDescent="0.45">
      <c r="D26">
        <v>23</v>
      </c>
      <c r="E26">
        <f t="shared" si="0"/>
        <v>5</v>
      </c>
    </row>
    <row r="27" spans="4:5" x14ac:dyDescent="0.45">
      <c r="D27">
        <v>24</v>
      </c>
      <c r="E27">
        <f t="shared" si="0"/>
        <v>5</v>
      </c>
    </row>
    <row r="28" spans="4:5" x14ac:dyDescent="0.45">
      <c r="D28">
        <v>25</v>
      </c>
      <c r="E28">
        <f t="shared" si="0"/>
        <v>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2024-01-05T14:01:05Z</dcterms:created>
  <dcterms:modified xsi:type="dcterms:W3CDTF">2025-02-18T04:58:37Z</dcterms:modified>
</cp:coreProperties>
</file>