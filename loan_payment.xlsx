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nou\Dropbox\git\bryantstats.github.io\math110\"/>
    </mc:Choice>
  </mc:AlternateContent>
  <xr:revisionPtr revIDLastSave="0" documentId="13_ncr:1_{E5CD1D2C-8ACC-4E14-B948-87375B2D31A7}" xr6:coauthVersionLast="47" xr6:coauthVersionMax="47" xr10:uidLastSave="{00000000-0000-0000-0000-000000000000}"/>
  <bookViews>
    <workbookView xWindow="-98" yWindow="-98" windowWidth="21795" windowHeight="14235" xr2:uid="{52CE84AF-6BCF-4AEE-9C2E-CFFB4814C926}"/>
  </bookViews>
  <sheets>
    <sheet name="Loan 1" sheetId="1" r:id="rId1"/>
    <sheet name="Loan 2" sheetId="2" r:id="rId2"/>
    <sheet name="Assignment 11" sheetId="3" r:id="rId3"/>
    <sheet name="exponential vs. linear " sheetId="5" r:id="rId4"/>
    <sheet name="Case - Study 2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" i="5" l="1"/>
  <c r="P4" i="5"/>
  <c r="Q4" i="5" s="1"/>
  <c r="R4" i="5" s="1"/>
  <c r="C5" i="5"/>
  <c r="H5" i="5"/>
  <c r="P5" i="5"/>
  <c r="Q5" i="5" s="1"/>
  <c r="R5" i="5" s="1"/>
  <c r="C6" i="5"/>
  <c r="H6" i="5"/>
  <c r="P6" i="5"/>
  <c r="Q6" i="5" s="1"/>
  <c r="R6" i="5" s="1"/>
  <c r="C7" i="5"/>
  <c r="H7" i="5"/>
  <c r="P7" i="5"/>
  <c r="Q7" i="5" s="1"/>
  <c r="R7" i="5" s="1"/>
  <c r="C8" i="5"/>
  <c r="H8" i="5"/>
  <c r="P8" i="5"/>
  <c r="Q8" i="5" s="1"/>
  <c r="R8" i="5" s="1"/>
  <c r="I13" i="5"/>
  <c r="J4" i="5" s="1"/>
  <c r="K4" i="5" s="1"/>
  <c r="L4" i="5" s="1"/>
  <c r="C2" i="1"/>
  <c r="I3" i="1" s="1"/>
  <c r="J124" i="2"/>
  <c r="K124" i="2"/>
  <c r="L124" i="2"/>
  <c r="M63" i="2"/>
  <c r="I64" i="2" s="1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K63" i="2"/>
  <c r="J63" i="2"/>
  <c r="I63" i="2"/>
  <c r="F4" i="2"/>
  <c r="I3" i="2"/>
  <c r="F3" i="2"/>
  <c r="F2" i="2"/>
  <c r="F2" i="1"/>
  <c r="F4" i="1"/>
  <c r="F3" i="1"/>
  <c r="R10" i="5" l="1"/>
  <c r="J8" i="5"/>
  <c r="K8" i="5" s="1"/>
  <c r="L8" i="5" s="1"/>
  <c r="J7" i="5"/>
  <c r="K7" i="5" s="1"/>
  <c r="L7" i="5" s="1"/>
  <c r="J6" i="5"/>
  <c r="K6" i="5" s="1"/>
  <c r="L6" i="5" s="1"/>
  <c r="J5" i="5"/>
  <c r="K5" i="5" s="1"/>
  <c r="L5" i="5" s="1"/>
  <c r="L10" i="5" s="1"/>
  <c r="J64" i="2"/>
  <c r="K64" i="2"/>
  <c r="M64" i="2" s="1"/>
  <c r="I65" i="2" s="1"/>
  <c r="F6" i="2"/>
  <c r="L61" i="2" s="1"/>
  <c r="J3" i="2"/>
  <c r="J3" i="1"/>
  <c r="F6" i="1"/>
  <c r="M65" i="2" l="1"/>
  <c r="I66" i="2" s="1"/>
  <c r="J65" i="2"/>
  <c r="K65" i="2" s="1"/>
  <c r="L24" i="2"/>
  <c r="L52" i="2"/>
  <c r="L56" i="2"/>
  <c r="L35" i="2"/>
  <c r="L4" i="2"/>
  <c r="L42" i="2"/>
  <c r="L60" i="2"/>
  <c r="L49" i="2"/>
  <c r="L54" i="2"/>
  <c r="L59" i="2"/>
  <c r="L33" i="2"/>
  <c r="L41" i="2"/>
  <c r="L13" i="2"/>
  <c r="L19" i="2"/>
  <c r="L7" i="2"/>
  <c r="L58" i="2"/>
  <c r="L50" i="2"/>
  <c r="L57" i="2"/>
  <c r="L62" i="2"/>
  <c r="L8" i="2"/>
  <c r="L38" i="2"/>
  <c r="L27" i="2"/>
  <c r="L43" i="2"/>
  <c r="L55" i="2"/>
  <c r="L51" i="2"/>
  <c r="L11" i="2"/>
  <c r="L16" i="2"/>
  <c r="L15" i="2"/>
  <c r="L12" i="2"/>
  <c r="L3" i="2"/>
  <c r="K3" i="2" s="1"/>
  <c r="L6" i="2"/>
  <c r="L37" i="2"/>
  <c r="L32" i="2"/>
  <c r="L44" i="2"/>
  <c r="L46" i="2"/>
  <c r="L29" i="2"/>
  <c r="L34" i="2"/>
  <c r="L21" i="2"/>
  <c r="L23" i="2"/>
  <c r="L20" i="2"/>
  <c r="L9" i="2"/>
  <c r="L14" i="2"/>
  <c r="L45" i="2"/>
  <c r="L47" i="2"/>
  <c r="L10" i="2"/>
  <c r="L40" i="2"/>
  <c r="L48" i="2"/>
  <c r="L31" i="2"/>
  <c r="L28" i="2"/>
  <c r="L17" i="2"/>
  <c r="L22" i="2"/>
  <c r="L53" i="2"/>
  <c r="L26" i="2"/>
  <c r="L5" i="2"/>
  <c r="L18" i="2"/>
  <c r="L39" i="2"/>
  <c r="L36" i="2"/>
  <c r="L25" i="2"/>
  <c r="L30" i="2"/>
  <c r="L11" i="1"/>
  <c r="L19" i="1"/>
  <c r="L27" i="1"/>
  <c r="L35" i="1"/>
  <c r="L43" i="1"/>
  <c r="L51" i="1"/>
  <c r="L59" i="1"/>
  <c r="L39" i="1"/>
  <c r="L16" i="1"/>
  <c r="L56" i="1"/>
  <c r="L25" i="1"/>
  <c r="L41" i="1"/>
  <c r="L26" i="1"/>
  <c r="L50" i="1"/>
  <c r="L4" i="1"/>
  <c r="L12" i="1"/>
  <c r="L20" i="1"/>
  <c r="L28" i="1"/>
  <c r="L36" i="1"/>
  <c r="L44" i="1"/>
  <c r="L52" i="1"/>
  <c r="L60" i="1"/>
  <c r="L15" i="1"/>
  <c r="L32" i="1"/>
  <c r="L18" i="1"/>
  <c r="L5" i="1"/>
  <c r="L13" i="1"/>
  <c r="L21" i="1"/>
  <c r="L29" i="1"/>
  <c r="L37" i="1"/>
  <c r="L45" i="1"/>
  <c r="L53" i="1"/>
  <c r="L61" i="1"/>
  <c r="L23" i="1"/>
  <c r="L3" i="1"/>
  <c r="L24" i="1"/>
  <c r="L48" i="1"/>
  <c r="L17" i="1"/>
  <c r="L49" i="1"/>
  <c r="L34" i="1"/>
  <c r="L6" i="1"/>
  <c r="L14" i="1"/>
  <c r="L22" i="1"/>
  <c r="L30" i="1"/>
  <c r="L38" i="1"/>
  <c r="L46" i="1"/>
  <c r="L54" i="1"/>
  <c r="L62" i="1"/>
  <c r="L7" i="1"/>
  <c r="L31" i="1"/>
  <c r="L47" i="1"/>
  <c r="L55" i="1"/>
  <c r="L8" i="1"/>
  <c r="L40" i="1"/>
  <c r="L33" i="1"/>
  <c r="L57" i="1"/>
  <c r="L10" i="1"/>
  <c r="L42" i="1"/>
  <c r="L58" i="1"/>
  <c r="L9" i="1"/>
  <c r="K3" i="1" l="1"/>
  <c r="L63" i="1"/>
  <c r="M66" i="2"/>
  <c r="I67" i="2" s="1"/>
  <c r="J66" i="2"/>
  <c r="K66" i="2" s="1"/>
  <c r="M3" i="2"/>
  <c r="I4" i="2" s="1"/>
  <c r="M3" i="1" l="1"/>
  <c r="I4" i="1" s="1"/>
  <c r="J67" i="2"/>
  <c r="K67" i="2" s="1"/>
  <c r="M67" i="2" s="1"/>
  <c r="I68" i="2" s="1"/>
  <c r="J4" i="2"/>
  <c r="J4" i="1" l="1"/>
  <c r="J68" i="2"/>
  <c r="K68" i="2" s="1"/>
  <c r="M68" i="2" s="1"/>
  <c r="I69" i="2" s="1"/>
  <c r="K4" i="2"/>
  <c r="K4" i="1" l="1"/>
  <c r="J69" i="2"/>
  <c r="K69" i="2" s="1"/>
  <c r="M69" i="2" s="1"/>
  <c r="I70" i="2" s="1"/>
  <c r="M4" i="2"/>
  <c r="I5" i="2" s="1"/>
  <c r="M4" i="1" l="1"/>
  <c r="I5" i="1" s="1"/>
  <c r="J70" i="2"/>
  <c r="K70" i="2" s="1"/>
  <c r="M70" i="2" s="1"/>
  <c r="I71" i="2" s="1"/>
  <c r="J5" i="2"/>
  <c r="J5" i="1" l="1"/>
  <c r="J71" i="2"/>
  <c r="K71" i="2" s="1"/>
  <c r="M71" i="2" s="1"/>
  <c r="I72" i="2" s="1"/>
  <c r="K5" i="2"/>
  <c r="K5" i="1" l="1"/>
  <c r="M72" i="2"/>
  <c r="I73" i="2" s="1"/>
  <c r="J72" i="2"/>
  <c r="K72" i="2" s="1"/>
  <c r="M5" i="2"/>
  <c r="I6" i="2" s="1"/>
  <c r="M5" i="1" l="1"/>
  <c r="I6" i="1" s="1"/>
  <c r="J6" i="1" s="1"/>
  <c r="J73" i="2"/>
  <c r="K73" i="2" s="1"/>
  <c r="M73" i="2" s="1"/>
  <c r="I74" i="2" s="1"/>
  <c r="J6" i="2"/>
  <c r="K6" i="1" l="1"/>
  <c r="J74" i="2"/>
  <c r="K74" i="2" s="1"/>
  <c r="M74" i="2" s="1"/>
  <c r="I75" i="2" s="1"/>
  <c r="K6" i="2"/>
  <c r="M6" i="1" l="1"/>
  <c r="I7" i="1" s="1"/>
  <c r="J75" i="2"/>
  <c r="K75" i="2" s="1"/>
  <c r="M75" i="2"/>
  <c r="I76" i="2" s="1"/>
  <c r="M6" i="2"/>
  <c r="I7" i="2" s="1"/>
  <c r="J7" i="1" l="1"/>
  <c r="K7" i="1" s="1"/>
  <c r="M7" i="1" s="1"/>
  <c r="I8" i="1" s="1"/>
  <c r="J76" i="2"/>
  <c r="K76" i="2" s="1"/>
  <c r="M76" i="2" s="1"/>
  <c r="I77" i="2" s="1"/>
  <c r="J7" i="2"/>
  <c r="K7" i="2" s="1"/>
  <c r="J8" i="1" l="1"/>
  <c r="K8" i="1" s="1"/>
  <c r="M8" i="1" s="1"/>
  <c r="I9" i="1" s="1"/>
  <c r="J77" i="2"/>
  <c r="K77" i="2" s="1"/>
  <c r="M77" i="2"/>
  <c r="I78" i="2" s="1"/>
  <c r="M7" i="2"/>
  <c r="I8" i="2" s="1"/>
  <c r="J9" i="1" l="1"/>
  <c r="K9" i="1" s="1"/>
  <c r="M9" i="1"/>
  <c r="I10" i="1" s="1"/>
  <c r="J10" i="1" s="1"/>
  <c r="K10" i="1" s="1"/>
  <c r="M10" i="1" s="1"/>
  <c r="I11" i="1" s="1"/>
  <c r="J11" i="1" s="1"/>
  <c r="K11" i="1" s="1"/>
  <c r="M11" i="1" s="1"/>
  <c r="I12" i="1" s="1"/>
  <c r="J12" i="1" s="1"/>
  <c r="K12" i="1" s="1"/>
  <c r="M12" i="1" s="1"/>
  <c r="I13" i="1" s="1"/>
  <c r="J13" i="1" s="1"/>
  <c r="K13" i="1" s="1"/>
  <c r="M13" i="1" s="1"/>
  <c r="I14" i="1" s="1"/>
  <c r="J14" i="1" s="1"/>
  <c r="K14" i="1" s="1"/>
  <c r="M14" i="1" s="1"/>
  <c r="I15" i="1" s="1"/>
  <c r="J15" i="1" s="1"/>
  <c r="K15" i="1" s="1"/>
  <c r="M15" i="1" s="1"/>
  <c r="I16" i="1" s="1"/>
  <c r="J78" i="2"/>
  <c r="K78" i="2" s="1"/>
  <c r="M78" i="2"/>
  <c r="I79" i="2" s="1"/>
  <c r="J8" i="2"/>
  <c r="K8" i="2" s="1"/>
  <c r="M8" i="2"/>
  <c r="I9" i="2" s="1"/>
  <c r="J16" i="1" l="1"/>
  <c r="K16" i="1" s="1"/>
  <c r="M16" i="1" s="1"/>
  <c r="I17" i="1" s="1"/>
  <c r="J79" i="2"/>
  <c r="K79" i="2" s="1"/>
  <c r="M79" i="2"/>
  <c r="I80" i="2" s="1"/>
  <c r="J9" i="2"/>
  <c r="K9" i="2" s="1"/>
  <c r="M9" i="2" s="1"/>
  <c r="I10" i="2" s="1"/>
  <c r="J17" i="1" l="1"/>
  <c r="K17" i="1" s="1"/>
  <c r="M17" i="1" s="1"/>
  <c r="I18" i="1" s="1"/>
  <c r="J80" i="2"/>
  <c r="K80" i="2" s="1"/>
  <c r="M80" i="2" s="1"/>
  <c r="I81" i="2" s="1"/>
  <c r="J10" i="2"/>
  <c r="K10" i="2" s="1"/>
  <c r="M10" i="2" s="1"/>
  <c r="I11" i="2" s="1"/>
  <c r="J18" i="1" l="1"/>
  <c r="K18" i="1" s="1"/>
  <c r="M18" i="1" s="1"/>
  <c r="I19" i="1" s="1"/>
  <c r="J81" i="2"/>
  <c r="K81" i="2" s="1"/>
  <c r="M81" i="2" s="1"/>
  <c r="I82" i="2" s="1"/>
  <c r="J11" i="2"/>
  <c r="K11" i="2" s="1"/>
  <c r="M11" i="2" s="1"/>
  <c r="I12" i="2" s="1"/>
  <c r="J19" i="1" l="1"/>
  <c r="K19" i="1" s="1"/>
  <c r="M19" i="1" s="1"/>
  <c r="I20" i="1" s="1"/>
  <c r="J82" i="2"/>
  <c r="K82" i="2" s="1"/>
  <c r="M82" i="2" s="1"/>
  <c r="I83" i="2" s="1"/>
  <c r="J12" i="2"/>
  <c r="K12" i="2" s="1"/>
  <c r="M12" i="2" s="1"/>
  <c r="I13" i="2" s="1"/>
  <c r="J20" i="1" l="1"/>
  <c r="K20" i="1" s="1"/>
  <c r="M20" i="1" s="1"/>
  <c r="I21" i="1" s="1"/>
  <c r="J21" i="1" s="1"/>
  <c r="K21" i="1" s="1"/>
  <c r="M21" i="1" s="1"/>
  <c r="I22" i="1" s="1"/>
  <c r="J22" i="1" s="1"/>
  <c r="K22" i="1" s="1"/>
  <c r="M22" i="1" s="1"/>
  <c r="I23" i="1" s="1"/>
  <c r="J83" i="2"/>
  <c r="K83" i="2" s="1"/>
  <c r="M83" i="2"/>
  <c r="I84" i="2" s="1"/>
  <c r="J13" i="2"/>
  <c r="K13" i="2" s="1"/>
  <c r="M13" i="2"/>
  <c r="I14" i="2" s="1"/>
  <c r="J23" i="1" l="1"/>
  <c r="K23" i="1" s="1"/>
  <c r="M23" i="1" s="1"/>
  <c r="I24" i="1" s="1"/>
  <c r="J84" i="2"/>
  <c r="K84" i="2" s="1"/>
  <c r="M84" i="2"/>
  <c r="I85" i="2" s="1"/>
  <c r="J14" i="2"/>
  <c r="K14" i="2" s="1"/>
  <c r="M14" i="2" s="1"/>
  <c r="I15" i="2" s="1"/>
  <c r="J24" i="1" l="1"/>
  <c r="K24" i="1" s="1"/>
  <c r="M24" i="1" s="1"/>
  <c r="I25" i="1" s="1"/>
  <c r="J25" i="1" s="1"/>
  <c r="K25" i="1" s="1"/>
  <c r="M25" i="1" s="1"/>
  <c r="I26" i="1" s="1"/>
  <c r="J26" i="1" s="1"/>
  <c r="K26" i="1" s="1"/>
  <c r="M26" i="1" s="1"/>
  <c r="I27" i="1" s="1"/>
  <c r="J85" i="2"/>
  <c r="K85" i="2" s="1"/>
  <c r="M85" i="2"/>
  <c r="I86" i="2" s="1"/>
  <c r="J15" i="2"/>
  <c r="K15" i="2" s="1"/>
  <c r="M15" i="2" s="1"/>
  <c r="I16" i="2" s="1"/>
  <c r="J27" i="1" l="1"/>
  <c r="K27" i="1" s="1"/>
  <c r="M27" i="1" s="1"/>
  <c r="I28" i="1" s="1"/>
  <c r="J86" i="2"/>
  <c r="K86" i="2" s="1"/>
  <c r="M86" i="2"/>
  <c r="I87" i="2" s="1"/>
  <c r="J16" i="2"/>
  <c r="K16" i="2" s="1"/>
  <c r="M16" i="2"/>
  <c r="I17" i="2" s="1"/>
  <c r="J28" i="1" l="1"/>
  <c r="K28" i="1" s="1"/>
  <c r="M28" i="1" s="1"/>
  <c r="I29" i="1" s="1"/>
  <c r="J87" i="2"/>
  <c r="K87" i="2" s="1"/>
  <c r="M87" i="2"/>
  <c r="I88" i="2" s="1"/>
  <c r="J17" i="2"/>
  <c r="K17" i="2" s="1"/>
  <c r="M17" i="2" s="1"/>
  <c r="I18" i="2" s="1"/>
  <c r="J29" i="1" l="1"/>
  <c r="K29" i="1" s="1"/>
  <c r="M29" i="1" s="1"/>
  <c r="I30" i="1" s="1"/>
  <c r="J30" i="1" s="1"/>
  <c r="K30" i="1" s="1"/>
  <c r="M30" i="1" s="1"/>
  <c r="I31" i="1" s="1"/>
  <c r="J88" i="2"/>
  <c r="K88" i="2" s="1"/>
  <c r="M88" i="2" s="1"/>
  <c r="I89" i="2" s="1"/>
  <c r="J18" i="2"/>
  <c r="K18" i="2" s="1"/>
  <c r="M18" i="2" s="1"/>
  <c r="I19" i="2" s="1"/>
  <c r="J89" i="2" l="1"/>
  <c r="K89" i="2" s="1"/>
  <c r="M89" i="2" s="1"/>
  <c r="I90" i="2" s="1"/>
  <c r="J19" i="2"/>
  <c r="K19" i="2" s="1"/>
  <c r="M19" i="2"/>
  <c r="I20" i="2" s="1"/>
  <c r="J31" i="1"/>
  <c r="K31" i="1" s="1"/>
  <c r="M31" i="1" s="1"/>
  <c r="I32" i="1" s="1"/>
  <c r="J90" i="2" l="1"/>
  <c r="K90" i="2" s="1"/>
  <c r="M90" i="2" s="1"/>
  <c r="I91" i="2" s="1"/>
  <c r="J20" i="2"/>
  <c r="K20" i="2" s="1"/>
  <c r="M20" i="2" s="1"/>
  <c r="I21" i="2" s="1"/>
  <c r="J32" i="1"/>
  <c r="K32" i="1" s="1"/>
  <c r="M32" i="1" s="1"/>
  <c r="I33" i="1" s="1"/>
  <c r="J91" i="2" l="1"/>
  <c r="K91" i="2" s="1"/>
  <c r="M91" i="2"/>
  <c r="I92" i="2" s="1"/>
  <c r="J21" i="2"/>
  <c r="K21" i="2" s="1"/>
  <c r="M21" i="2" s="1"/>
  <c r="I22" i="2" s="1"/>
  <c r="J33" i="1"/>
  <c r="K33" i="1" s="1"/>
  <c r="M33" i="1" s="1"/>
  <c r="I34" i="1" s="1"/>
  <c r="J92" i="2" l="1"/>
  <c r="K92" i="2" s="1"/>
  <c r="M92" i="2" s="1"/>
  <c r="I93" i="2" s="1"/>
  <c r="J22" i="2"/>
  <c r="K22" i="2" s="1"/>
  <c r="M22" i="2"/>
  <c r="I23" i="2" s="1"/>
  <c r="J34" i="1"/>
  <c r="K34" i="1" s="1"/>
  <c r="M34" i="1" s="1"/>
  <c r="I35" i="1" s="1"/>
  <c r="J93" i="2" l="1"/>
  <c r="K93" i="2" s="1"/>
  <c r="M93" i="2"/>
  <c r="I94" i="2" s="1"/>
  <c r="J23" i="2"/>
  <c r="K23" i="2" s="1"/>
  <c r="M23" i="2" s="1"/>
  <c r="I24" i="2" s="1"/>
  <c r="J35" i="1"/>
  <c r="K35" i="1" s="1"/>
  <c r="M35" i="1" s="1"/>
  <c r="I36" i="1" s="1"/>
  <c r="J94" i="2" l="1"/>
  <c r="K94" i="2" s="1"/>
  <c r="M94" i="2"/>
  <c r="I95" i="2" s="1"/>
  <c r="J24" i="2"/>
  <c r="K24" i="2" s="1"/>
  <c r="M24" i="2"/>
  <c r="I25" i="2" s="1"/>
  <c r="J36" i="1"/>
  <c r="K36" i="1" s="1"/>
  <c r="M36" i="1" s="1"/>
  <c r="I37" i="1" s="1"/>
  <c r="J95" i="2" l="1"/>
  <c r="K95" i="2" s="1"/>
  <c r="M95" i="2"/>
  <c r="I96" i="2" s="1"/>
  <c r="J25" i="2"/>
  <c r="K25" i="2" s="1"/>
  <c r="M25" i="2" s="1"/>
  <c r="I26" i="2" s="1"/>
  <c r="J37" i="1"/>
  <c r="K37" i="1" s="1"/>
  <c r="M37" i="1" s="1"/>
  <c r="I38" i="1" s="1"/>
  <c r="J96" i="2" l="1"/>
  <c r="K96" i="2" s="1"/>
  <c r="M96" i="2" s="1"/>
  <c r="I97" i="2" s="1"/>
  <c r="J26" i="2"/>
  <c r="K26" i="2" s="1"/>
  <c r="M26" i="2" s="1"/>
  <c r="I27" i="2" s="1"/>
  <c r="J38" i="1"/>
  <c r="K38" i="1" s="1"/>
  <c r="M38" i="1" s="1"/>
  <c r="I39" i="1" s="1"/>
  <c r="M97" i="2" l="1"/>
  <c r="I98" i="2" s="1"/>
  <c r="J97" i="2"/>
  <c r="K97" i="2" s="1"/>
  <c r="J27" i="2"/>
  <c r="K27" i="2" s="1"/>
  <c r="M27" i="2" s="1"/>
  <c r="I28" i="2" s="1"/>
  <c r="J39" i="1"/>
  <c r="K39" i="1" s="1"/>
  <c r="M39" i="1" s="1"/>
  <c r="I40" i="1" s="1"/>
  <c r="J98" i="2" l="1"/>
  <c r="K98" i="2" s="1"/>
  <c r="M98" i="2" s="1"/>
  <c r="I99" i="2" s="1"/>
  <c r="J28" i="2"/>
  <c r="K28" i="2" s="1"/>
  <c r="M28" i="2" s="1"/>
  <c r="I29" i="2" s="1"/>
  <c r="J40" i="1"/>
  <c r="K40" i="1" s="1"/>
  <c r="M40" i="1" s="1"/>
  <c r="I41" i="1" s="1"/>
  <c r="J99" i="2" l="1"/>
  <c r="K99" i="2" s="1"/>
  <c r="M99" i="2" s="1"/>
  <c r="I100" i="2" s="1"/>
  <c r="J29" i="2"/>
  <c r="K29" i="2" s="1"/>
  <c r="M29" i="2" s="1"/>
  <c r="I30" i="2" s="1"/>
  <c r="J41" i="1"/>
  <c r="K41" i="1" s="1"/>
  <c r="M41" i="1"/>
  <c r="I42" i="1" s="1"/>
  <c r="J100" i="2" l="1"/>
  <c r="K100" i="2" s="1"/>
  <c r="M100" i="2"/>
  <c r="I101" i="2" s="1"/>
  <c r="J30" i="2"/>
  <c r="K30" i="2" s="1"/>
  <c r="M30" i="2" s="1"/>
  <c r="I31" i="2" s="1"/>
  <c r="J42" i="1"/>
  <c r="K42" i="1" s="1"/>
  <c r="M42" i="1" s="1"/>
  <c r="I43" i="1" s="1"/>
  <c r="J101" i="2" l="1"/>
  <c r="K101" i="2" s="1"/>
  <c r="M101" i="2" s="1"/>
  <c r="I102" i="2" s="1"/>
  <c r="J31" i="2"/>
  <c r="K31" i="2" s="1"/>
  <c r="M31" i="2" s="1"/>
  <c r="I32" i="2" s="1"/>
  <c r="J43" i="1"/>
  <c r="K43" i="1" s="1"/>
  <c r="M43" i="1" s="1"/>
  <c r="I44" i="1" s="1"/>
  <c r="J102" i="2" l="1"/>
  <c r="K102" i="2" s="1"/>
  <c r="M102" i="2"/>
  <c r="I103" i="2" s="1"/>
  <c r="J32" i="2"/>
  <c r="K32" i="2" s="1"/>
  <c r="M32" i="2"/>
  <c r="I33" i="2" s="1"/>
  <c r="J44" i="1"/>
  <c r="K44" i="1" s="1"/>
  <c r="M44" i="1" s="1"/>
  <c r="I45" i="1" s="1"/>
  <c r="J103" i="2" l="1"/>
  <c r="K103" i="2" s="1"/>
  <c r="M103" i="2"/>
  <c r="I104" i="2" s="1"/>
  <c r="J33" i="2"/>
  <c r="K33" i="2" s="1"/>
  <c r="M33" i="2" s="1"/>
  <c r="I34" i="2" s="1"/>
  <c r="J45" i="1"/>
  <c r="K45" i="1" s="1"/>
  <c r="M45" i="1" s="1"/>
  <c r="I46" i="1" s="1"/>
  <c r="J104" i="2" l="1"/>
  <c r="K104" i="2" s="1"/>
  <c r="M104" i="2" s="1"/>
  <c r="I105" i="2" s="1"/>
  <c r="J34" i="2"/>
  <c r="K34" i="2" s="1"/>
  <c r="M34" i="2" s="1"/>
  <c r="I35" i="2" s="1"/>
  <c r="J46" i="1"/>
  <c r="K46" i="1" s="1"/>
  <c r="M46" i="1" s="1"/>
  <c r="I47" i="1" s="1"/>
  <c r="M105" i="2" l="1"/>
  <c r="I106" i="2" s="1"/>
  <c r="J105" i="2"/>
  <c r="K105" i="2" s="1"/>
  <c r="J35" i="2"/>
  <c r="K35" i="2" s="1"/>
  <c r="M35" i="2" s="1"/>
  <c r="I36" i="2" s="1"/>
  <c r="J47" i="1"/>
  <c r="K47" i="1" s="1"/>
  <c r="M47" i="1" s="1"/>
  <c r="I48" i="1" s="1"/>
  <c r="J106" i="2" l="1"/>
  <c r="K106" i="2" s="1"/>
  <c r="M106" i="2" s="1"/>
  <c r="I107" i="2" s="1"/>
  <c r="J36" i="2"/>
  <c r="K36" i="2" s="1"/>
  <c r="M36" i="2" s="1"/>
  <c r="I37" i="2" s="1"/>
  <c r="J48" i="1"/>
  <c r="K48" i="1" s="1"/>
  <c r="M48" i="1" s="1"/>
  <c r="I49" i="1" s="1"/>
  <c r="J107" i="2" l="1"/>
  <c r="K107" i="2" s="1"/>
  <c r="M107" i="2" s="1"/>
  <c r="I108" i="2" s="1"/>
  <c r="J37" i="2"/>
  <c r="K37" i="2" s="1"/>
  <c r="M37" i="2" s="1"/>
  <c r="I38" i="2" s="1"/>
  <c r="J49" i="1"/>
  <c r="K49" i="1" s="1"/>
  <c r="M49" i="1" s="1"/>
  <c r="I50" i="1" s="1"/>
  <c r="J108" i="2" l="1"/>
  <c r="K108" i="2" s="1"/>
  <c r="M108" i="2" s="1"/>
  <c r="I109" i="2" s="1"/>
  <c r="J38" i="2"/>
  <c r="K38" i="2" s="1"/>
  <c r="M38" i="2"/>
  <c r="I39" i="2" s="1"/>
  <c r="J50" i="1"/>
  <c r="K50" i="1" s="1"/>
  <c r="M50" i="1"/>
  <c r="I51" i="1" s="1"/>
  <c r="J109" i="2" l="1"/>
  <c r="K109" i="2" s="1"/>
  <c r="M109" i="2"/>
  <c r="I110" i="2" s="1"/>
  <c r="J39" i="2"/>
  <c r="K39" i="2" s="1"/>
  <c r="M39" i="2" s="1"/>
  <c r="I40" i="2" s="1"/>
  <c r="J51" i="1"/>
  <c r="K51" i="1" s="1"/>
  <c r="M51" i="1" s="1"/>
  <c r="I52" i="1" s="1"/>
  <c r="J110" i="2" l="1"/>
  <c r="K110" i="2" s="1"/>
  <c r="M110" i="2"/>
  <c r="I111" i="2" s="1"/>
  <c r="J40" i="2"/>
  <c r="K40" i="2" s="1"/>
  <c r="M40" i="2" s="1"/>
  <c r="I41" i="2" s="1"/>
  <c r="J52" i="1"/>
  <c r="K52" i="1" s="1"/>
  <c r="M52" i="1"/>
  <c r="I53" i="1" s="1"/>
  <c r="J111" i="2" l="1"/>
  <c r="K111" i="2" s="1"/>
  <c r="M111" i="2" s="1"/>
  <c r="I112" i="2" s="1"/>
  <c r="J41" i="2"/>
  <c r="K41" i="2" s="1"/>
  <c r="M41" i="2" s="1"/>
  <c r="I42" i="2" s="1"/>
  <c r="J53" i="1"/>
  <c r="K53" i="1" s="1"/>
  <c r="M53" i="1" s="1"/>
  <c r="I54" i="1" s="1"/>
  <c r="M112" i="2" l="1"/>
  <c r="I113" i="2" s="1"/>
  <c r="J112" i="2"/>
  <c r="K112" i="2" s="1"/>
  <c r="J42" i="2"/>
  <c r="K42" i="2" s="1"/>
  <c r="M42" i="2" s="1"/>
  <c r="I43" i="2" s="1"/>
  <c r="J54" i="1"/>
  <c r="K54" i="1" s="1"/>
  <c r="M54" i="1" s="1"/>
  <c r="I55" i="1" s="1"/>
  <c r="J113" i="2" l="1"/>
  <c r="K113" i="2" s="1"/>
  <c r="M113" i="2" s="1"/>
  <c r="I114" i="2" s="1"/>
  <c r="J43" i="2"/>
  <c r="K43" i="2" s="1"/>
  <c r="M43" i="2" s="1"/>
  <c r="I44" i="2" s="1"/>
  <c r="J55" i="1"/>
  <c r="K55" i="1" s="1"/>
  <c r="M55" i="1" s="1"/>
  <c r="I56" i="1" s="1"/>
  <c r="M114" i="2" l="1"/>
  <c r="I115" i="2" s="1"/>
  <c r="J114" i="2"/>
  <c r="K114" i="2" s="1"/>
  <c r="J44" i="2"/>
  <c r="K44" i="2" s="1"/>
  <c r="M44" i="2" s="1"/>
  <c r="I45" i="2" s="1"/>
  <c r="J56" i="1"/>
  <c r="K56" i="1" s="1"/>
  <c r="M56" i="1"/>
  <c r="I57" i="1" s="1"/>
  <c r="J115" i="2" l="1"/>
  <c r="K115" i="2" s="1"/>
  <c r="M115" i="2" s="1"/>
  <c r="I116" i="2" s="1"/>
  <c r="J45" i="2"/>
  <c r="K45" i="2" s="1"/>
  <c r="M45" i="2" s="1"/>
  <c r="I46" i="2" s="1"/>
  <c r="J57" i="1"/>
  <c r="K57" i="1" s="1"/>
  <c r="M57" i="1"/>
  <c r="I58" i="1" s="1"/>
  <c r="J116" i="2" l="1"/>
  <c r="K116" i="2" s="1"/>
  <c r="M116" i="2"/>
  <c r="I117" i="2" s="1"/>
  <c r="J46" i="2"/>
  <c r="K46" i="2" s="1"/>
  <c r="M46" i="2" s="1"/>
  <c r="I47" i="2" s="1"/>
  <c r="J58" i="1"/>
  <c r="K58" i="1" s="1"/>
  <c r="M58" i="1"/>
  <c r="I59" i="1" s="1"/>
  <c r="J117" i="2" l="1"/>
  <c r="K117" i="2" s="1"/>
  <c r="M117" i="2" s="1"/>
  <c r="I118" i="2" s="1"/>
  <c r="J47" i="2"/>
  <c r="K47" i="2" s="1"/>
  <c r="M47" i="2"/>
  <c r="I48" i="2" s="1"/>
  <c r="J59" i="1"/>
  <c r="K59" i="1" s="1"/>
  <c r="M59" i="1" s="1"/>
  <c r="I60" i="1" s="1"/>
  <c r="J118" i="2" l="1"/>
  <c r="K118" i="2" s="1"/>
  <c r="M118" i="2" s="1"/>
  <c r="I119" i="2" s="1"/>
  <c r="J48" i="2"/>
  <c r="K48" i="2" s="1"/>
  <c r="M48" i="2" s="1"/>
  <c r="I49" i="2" s="1"/>
  <c r="J60" i="1"/>
  <c r="K60" i="1" s="1"/>
  <c r="M60" i="1" s="1"/>
  <c r="I61" i="1" s="1"/>
  <c r="J119" i="2" l="1"/>
  <c r="K119" i="2" s="1"/>
  <c r="M119" i="2" s="1"/>
  <c r="I120" i="2" s="1"/>
  <c r="J49" i="2"/>
  <c r="K49" i="2" s="1"/>
  <c r="M49" i="2" s="1"/>
  <c r="I50" i="2" s="1"/>
  <c r="J61" i="1"/>
  <c r="K61" i="1" s="1"/>
  <c r="M61" i="1" s="1"/>
  <c r="I62" i="1" s="1"/>
  <c r="J120" i="2" l="1"/>
  <c r="K120" i="2" s="1"/>
  <c r="M120" i="2" s="1"/>
  <c r="I121" i="2" s="1"/>
  <c r="J50" i="2"/>
  <c r="K50" i="2" s="1"/>
  <c r="M50" i="2" s="1"/>
  <c r="I51" i="2" s="1"/>
  <c r="J62" i="1"/>
  <c r="K62" i="1" l="1"/>
  <c r="J63" i="1"/>
  <c r="M121" i="2"/>
  <c r="I122" i="2" s="1"/>
  <c r="J121" i="2"/>
  <c r="K121" i="2" s="1"/>
  <c r="J51" i="2"/>
  <c r="K51" i="2" s="1"/>
  <c r="M51" i="2" s="1"/>
  <c r="I52" i="2" s="1"/>
  <c r="K63" i="1" l="1"/>
  <c r="M62" i="1"/>
  <c r="J122" i="2"/>
  <c r="K122" i="2" s="1"/>
  <c r="M122" i="2" s="1"/>
  <c r="J52" i="2"/>
  <c r="K52" i="2" s="1"/>
  <c r="M52" i="2" s="1"/>
  <c r="I53" i="2" s="1"/>
  <c r="J53" i="2" l="1"/>
  <c r="K53" i="2" s="1"/>
  <c r="M53" i="2" s="1"/>
  <c r="I54" i="2" s="1"/>
  <c r="J54" i="2" l="1"/>
  <c r="K54" i="2" s="1"/>
  <c r="M54" i="2"/>
  <c r="I55" i="2" s="1"/>
  <c r="J55" i="2" l="1"/>
  <c r="K55" i="2" s="1"/>
  <c r="M55" i="2"/>
  <c r="I56" i="2" s="1"/>
  <c r="J56" i="2" l="1"/>
  <c r="K56" i="2" s="1"/>
  <c r="M56" i="2" s="1"/>
  <c r="I57" i="2" s="1"/>
  <c r="J57" i="2" l="1"/>
  <c r="K57" i="2" s="1"/>
  <c r="M57" i="2" s="1"/>
  <c r="I58" i="2" s="1"/>
  <c r="J58" i="2" l="1"/>
  <c r="K58" i="2" s="1"/>
  <c r="M58" i="2" s="1"/>
  <c r="I59" i="2" s="1"/>
  <c r="J59" i="2" l="1"/>
  <c r="K59" i="2" s="1"/>
  <c r="M59" i="2" s="1"/>
  <c r="I60" i="2" s="1"/>
  <c r="J60" i="2" l="1"/>
  <c r="K60" i="2" s="1"/>
  <c r="M60" i="2" s="1"/>
  <c r="I61" i="2" s="1"/>
  <c r="J61" i="2" l="1"/>
  <c r="K61" i="2" s="1"/>
  <c r="M61" i="2" s="1"/>
  <c r="I62" i="2" s="1"/>
  <c r="J62" i="2" l="1"/>
  <c r="K62" i="2" l="1"/>
  <c r="M62" i="2" l="1"/>
</calcChain>
</file>

<file path=xl/sharedStrings.xml><?xml version="1.0" encoding="utf-8"?>
<sst xmlns="http://schemas.openxmlformats.org/spreadsheetml/2006/main" count="62" uniqueCount="43">
  <si>
    <t>Principal of the Loan</t>
  </si>
  <si>
    <t>Yearly Interest</t>
  </si>
  <si>
    <t>Loan's Term</t>
  </si>
  <si>
    <t>N =</t>
  </si>
  <si>
    <t>r =</t>
  </si>
  <si>
    <t>P =</t>
  </si>
  <si>
    <t>Monthly
 Payment</t>
  </si>
  <si>
    <t>Loan Value</t>
  </si>
  <si>
    <t>Payment</t>
  </si>
  <si>
    <t>Month</t>
  </si>
  <si>
    <t>Interest
 Paid</t>
  </si>
  <si>
    <t>Principal
 Paid</t>
  </si>
  <si>
    <t>End of 
Month Value</t>
  </si>
  <si>
    <t>Assignment 11</t>
  </si>
  <si>
    <t>b. Redo a with the down payment of 20%</t>
  </si>
  <si>
    <t>Down Payment</t>
  </si>
  <si>
    <t>Original Principal
 of The loan</t>
  </si>
  <si>
    <t>Principal of the 
Loan after Downpayment</t>
  </si>
  <si>
    <t>a. Use Excel to make a table similar to the tab Loan 1 for the loan of $50,000 with the interest rate of 5% and the loan's term of 7 years.</t>
  </si>
  <si>
    <t>Case Study 2</t>
  </si>
  <si>
    <t xml:space="preserve">1. Model the data using Exponential Function and calculate the MAE of the model.  </t>
  </si>
  <si>
    <t xml:space="preserve">2. Model the data using Linear Function and calculate the MAE of the model.  </t>
  </si>
  <si>
    <t>3. Compare the two models to decide the best model.</t>
  </si>
  <si>
    <t>Find a dataset and do the following.</t>
  </si>
  <si>
    <t>Some ideas for the dataset</t>
  </si>
  <si>
    <t>World Population by years</t>
  </si>
  <si>
    <t>Population of a country by years</t>
  </si>
  <si>
    <t>Any data that grow fast</t>
  </si>
  <si>
    <t>Exponential Model is better because it gives a smaller MAE.</t>
  </si>
  <si>
    <t>k</t>
  </si>
  <si>
    <t xml:space="preserve">e </t>
  </si>
  <si>
    <t>a</t>
  </si>
  <si>
    <t>Mean
 Absolute Error</t>
  </si>
  <si>
    <t>Mean 
Absolute Error</t>
  </si>
  <si>
    <t>Absolute Error</t>
  </si>
  <si>
    <t>Error</t>
  </si>
  <si>
    <t>Estimated Pop</t>
  </si>
  <si>
    <t>Pop</t>
  </si>
  <si>
    <t>Year</t>
  </si>
  <si>
    <t>Data 3 (Linear)</t>
  </si>
  <si>
    <t>Data 2 (Exponential)</t>
  </si>
  <si>
    <t>Data 1</t>
  </si>
  <si>
    <t>Make sure you use Excel for all the calculation. Refer to the tab "exponential vs. linear" for an example.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</si>
</sst>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3">
    <xf numFmtId="0" fontId="0" fillId="0" borderId="0" xfId="0"/>
    <xf numFmtId="44" fontId="0" fillId="0" borderId="0" xfId="1" applyFont="1"/>
    <xf numFmtId="9" fontId="0" fillId="0" borderId="0" xfId="2" applyFont="1"/>
    <xf numFmtId="44" fontId="0" fillId="0" borderId="0" xfId="0" applyNumberFormat="1"/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3" fillId="0" borderId="0" xfId="0" applyFont="1"/>
    <xf numFmtId="0" fontId="3" fillId="0" borderId="1" xfId="0" applyFont="1" applyBorder="1"/>
    <xf numFmtId="0" fontId="3" fillId="0" borderId="1" xfId="0" applyFont="1" applyBorder="1" applyAlignment="1">
      <alignment wrapText="1"/>
    </xf>
    <xf numFmtId="0" fontId="0" fillId="0" borderId="1" xfId="0" applyBorder="1"/>
    <xf numFmtId="44" fontId="0" fillId="0" borderId="1" xfId="0" applyNumberFormat="1" applyBorder="1"/>
    <xf numFmtId="9" fontId="0" fillId="0" borderId="0" xfId="0" applyNumberFormat="1"/>
    <xf numFmtId="0" fontId="3" fillId="0" borderId="1" xfId="0" applyFont="1" applyBorder="1" applyAlignment="1">
      <alignment horizontal="right"/>
    </xf>
    <xf numFmtId="0" fontId="3" fillId="0" borderId="1" xfId="0" applyFont="1" applyBorder="1" applyAlignment="1">
      <alignment horizontal="right" wrapText="1"/>
    </xf>
    <xf numFmtId="0" fontId="2" fillId="0" borderId="0" xfId="0" applyFont="1"/>
    <xf numFmtId="0" fontId="0" fillId="2" borderId="0" xfId="0" applyFill="1"/>
    <xf numFmtId="0" fontId="0" fillId="2" borderId="0" xfId="0" applyFill="1" applyAlignment="1">
      <alignment wrapText="1"/>
    </xf>
    <xf numFmtId="0" fontId="0" fillId="3" borderId="0" xfId="0" applyFill="1"/>
    <xf numFmtId="0" fontId="0" fillId="3" borderId="0" xfId="0" applyFill="1" applyAlignment="1">
      <alignment wrapText="1"/>
    </xf>
    <xf numFmtId="0" fontId="0" fillId="2" borderId="1" xfId="0" applyFill="1" applyBorder="1"/>
    <xf numFmtId="0" fontId="0" fillId="3" borderId="1" xfId="0" applyFill="1" applyBorder="1"/>
    <xf numFmtId="0" fontId="3" fillId="3" borderId="1" xfId="0" applyFont="1" applyFill="1" applyBorder="1"/>
    <xf numFmtId="0" fontId="3" fillId="3" borderId="1" xfId="0" applyFont="1" applyFill="1" applyBorder="1" applyAlignment="1">
      <alignment horizontal="right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'Loan 1'!$J$2</c:f>
              <c:strCache>
                <c:ptCount val="1"/>
                <c:pt idx="0">
                  <c:v>Interest
 Paid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'Loan 1'!$H$3:$H$62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xVal>
          <c:yVal>
            <c:numRef>
              <c:f>'Loan 1'!$J$3:$J$62</c:f>
              <c:numCache>
                <c:formatCode>_("$"* #,##0.00_);_("$"* \(#,##0.00\);_("$"* "-"??_);_(@_)</c:formatCode>
                <c:ptCount val="60"/>
                <c:pt idx="0">
                  <c:v>180</c:v>
                </c:pt>
                <c:pt idx="1">
                  <c:v>177.61349605925631</c:v>
                </c:pt>
                <c:pt idx="2">
                  <c:v>175.20909333895705</c:v>
                </c:pt>
                <c:pt idx="3">
                  <c:v>172.78665759825552</c:v>
                </c:pt>
                <c:pt idx="4">
                  <c:v>170.34605358949875</c:v>
                </c:pt>
                <c:pt idx="5">
                  <c:v>167.88714505067634</c:v>
                </c:pt>
                <c:pt idx="6">
                  <c:v>165.40979469781271</c:v>
                </c:pt>
                <c:pt idx="7">
                  <c:v>162.9138642173026</c:v>
                </c:pt>
                <c:pt idx="8">
                  <c:v>160.39921425818869</c:v>
                </c:pt>
                <c:pt idx="9">
                  <c:v>157.86570442438142</c:v>
                </c:pt>
                <c:pt idx="10">
                  <c:v>155.3131932668206</c:v>
                </c:pt>
                <c:pt idx="11">
                  <c:v>152.74153827557808</c:v>
                </c:pt>
                <c:pt idx="12">
                  <c:v>150.1505958719012</c:v>
                </c:pt>
                <c:pt idx="13">
                  <c:v>147.54022140019677</c:v>
                </c:pt>
                <c:pt idx="14">
                  <c:v>144.91026911995456</c:v>
                </c:pt>
                <c:pt idx="15">
                  <c:v>142.26059219761055</c:v>
                </c:pt>
                <c:pt idx="16">
                  <c:v>139.59104269834893</c:v>
                </c:pt>
                <c:pt idx="17">
                  <c:v>136.90147157784287</c:v>
                </c:pt>
                <c:pt idx="18">
                  <c:v>134.191728673933</c:v>
                </c:pt>
                <c:pt idx="19">
                  <c:v>131.46166269824383</c:v>
                </c:pt>
                <c:pt idx="20">
                  <c:v>128.71112122773698</c:v>
                </c:pt>
                <c:pt idx="21">
                  <c:v>125.93995069620129</c:v>
                </c:pt>
                <c:pt idx="22">
                  <c:v>123.14799638567912</c:v>
                </c:pt>
                <c:pt idx="23">
                  <c:v>120.33510241782803</c:v>
                </c:pt>
                <c:pt idx="24">
                  <c:v>117.50111174521805</c:v>
                </c:pt>
                <c:pt idx="25">
                  <c:v>114.64586614256351</c:v>
                </c:pt>
                <c:pt idx="26">
                  <c:v>111.76920619788905</c:v>
                </c:pt>
                <c:pt idx="27">
                  <c:v>108.87097130362952</c:v>
                </c:pt>
                <c:pt idx="28">
                  <c:v>105.95099964766305</c:v>
                </c:pt>
                <c:pt idx="29">
                  <c:v>103.00912820427682</c:v>
                </c:pt>
                <c:pt idx="30">
                  <c:v>100.04519272506522</c:v>
                </c:pt>
                <c:pt idx="31">
                  <c:v>97.059027729759521</c:v>
                </c:pt>
                <c:pt idx="32">
                  <c:v>94.050466496989017</c:v>
                </c:pt>
                <c:pt idx="33">
                  <c:v>91.019341054972756</c:v>
                </c:pt>
                <c:pt idx="34">
                  <c:v>87.965482172141364</c:v>
                </c:pt>
                <c:pt idx="35">
                  <c:v>84.888719347688735</c:v>
                </c:pt>
                <c:pt idx="36">
                  <c:v>81.788880802052716</c:v>
                </c:pt>
                <c:pt idx="37">
                  <c:v>78.665793467324406</c:v>
                </c:pt>
                <c:pt idx="38">
                  <c:v>75.519282977585661</c:v>
                </c:pt>
                <c:pt idx="39">
                  <c:v>72.349173659173871</c:v>
                </c:pt>
                <c:pt idx="40">
                  <c:v>69.155288520873995</c:v>
                </c:pt>
                <c:pt idx="41">
                  <c:v>65.937449244036856</c:v>
                </c:pt>
                <c:pt idx="42">
                  <c:v>62.695476172623458</c:v>
                </c:pt>
                <c:pt idx="43">
                  <c:v>59.429188303174442</c:v>
                </c:pt>
                <c:pt idx="44">
                  <c:v>56.138403274704558</c:v>
                </c:pt>
                <c:pt idx="45">
                  <c:v>52.822937358521159</c:v>
                </c:pt>
                <c:pt idx="46">
                  <c:v>49.482605447966385</c:v>
                </c:pt>
                <c:pt idx="47">
                  <c:v>46.117221048082442</c:v>
                </c:pt>
                <c:pt idx="48">
                  <c:v>42.726596265199376</c:v>
                </c:pt>
                <c:pt idx="49">
                  <c:v>39.310541796444681</c:v>
                </c:pt>
                <c:pt idx="50">
                  <c:v>35.86886691917433</c:v>
                </c:pt>
                <c:pt idx="51">
                  <c:v>32.401379480324451</c:v>
                </c:pt>
                <c:pt idx="52">
                  <c:v>28.9078858856832</c:v>
                </c:pt>
                <c:pt idx="53">
                  <c:v>25.388191089082135</c:v>
                </c:pt>
                <c:pt idx="54">
                  <c:v>21.842098581506566</c:v>
                </c:pt>
                <c:pt idx="55">
                  <c:v>18.269410380124175</c:v>
                </c:pt>
                <c:pt idx="56">
                  <c:v>14.669927017231419</c:v>
                </c:pt>
                <c:pt idx="57">
                  <c:v>11.043447529116966</c:v>
                </c:pt>
                <c:pt idx="58">
                  <c:v>7.3897694448416562</c:v>
                </c:pt>
                <c:pt idx="59">
                  <c:v>3.7086887749342816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391-4F3D-9FD0-65D2AE6C0A3D}"/>
            </c:ext>
          </c:extLst>
        </c:ser>
        <c:ser>
          <c:idx val="1"/>
          <c:order val="1"/>
          <c:tx>
            <c:strRef>
              <c:f>'Loan 1'!$K$2</c:f>
              <c:strCache>
                <c:ptCount val="1"/>
                <c:pt idx="0">
                  <c:v>Principal
 Paid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'Loan 1'!$H$3:$H$62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xVal>
          <c:yVal>
            <c:numRef>
              <c:f>'Loan 1'!$K$3:$K$62</c:f>
              <c:numCache>
                <c:formatCode>_("$"* #,##0.00_);_("$"* \(#,##0.00\);_("$"* "-"??_);_(@_)</c:formatCode>
                <c:ptCount val="60"/>
                <c:pt idx="0">
                  <c:v>318.20052543249165</c:v>
                </c:pt>
                <c:pt idx="1">
                  <c:v>320.58702937323534</c:v>
                </c:pt>
                <c:pt idx="2">
                  <c:v>322.99143209353463</c:v>
                </c:pt>
                <c:pt idx="3">
                  <c:v>325.41386783423616</c:v>
                </c:pt>
                <c:pt idx="4">
                  <c:v>327.85447184299289</c:v>
                </c:pt>
                <c:pt idx="5">
                  <c:v>330.31338038181531</c:v>
                </c:pt>
                <c:pt idx="6">
                  <c:v>332.79073073467896</c:v>
                </c:pt>
                <c:pt idx="7">
                  <c:v>335.28666121518904</c:v>
                </c:pt>
                <c:pt idx="8">
                  <c:v>337.80131117430295</c:v>
                </c:pt>
                <c:pt idx="9">
                  <c:v>340.33482100811023</c:v>
                </c:pt>
                <c:pt idx="10">
                  <c:v>342.88733216567107</c:v>
                </c:pt>
                <c:pt idx="11">
                  <c:v>345.45898715691357</c:v>
                </c:pt>
                <c:pt idx="12">
                  <c:v>348.04992956059044</c:v>
                </c:pt>
                <c:pt idx="13">
                  <c:v>350.6603040322949</c:v>
                </c:pt>
                <c:pt idx="14">
                  <c:v>353.29025631253705</c:v>
                </c:pt>
                <c:pt idx="15">
                  <c:v>355.9399332348811</c:v>
                </c:pt>
                <c:pt idx="16">
                  <c:v>358.60948273414272</c:v>
                </c:pt>
                <c:pt idx="17">
                  <c:v>361.29905385464878</c:v>
                </c:pt>
                <c:pt idx="18">
                  <c:v>364.00879675855867</c:v>
                </c:pt>
                <c:pt idx="19">
                  <c:v>366.73886273424785</c:v>
                </c:pt>
                <c:pt idx="20">
                  <c:v>369.48940420475469</c:v>
                </c:pt>
                <c:pt idx="21">
                  <c:v>372.26057473629032</c:v>
                </c:pt>
                <c:pt idx="22">
                  <c:v>375.05252904681254</c:v>
                </c:pt>
                <c:pt idx="23">
                  <c:v>377.86542301466363</c:v>
                </c:pt>
                <c:pt idx="24">
                  <c:v>380.69941368727359</c:v>
                </c:pt>
                <c:pt idx="25">
                  <c:v>383.55465928992817</c:v>
                </c:pt>
                <c:pt idx="26">
                  <c:v>386.4313192346026</c:v>
                </c:pt>
                <c:pt idx="27">
                  <c:v>389.32955412886213</c:v>
                </c:pt>
                <c:pt idx="28">
                  <c:v>392.24952578482862</c:v>
                </c:pt>
                <c:pt idx="29">
                  <c:v>395.19139722821484</c:v>
                </c:pt>
                <c:pt idx="30">
                  <c:v>398.1553327074264</c:v>
                </c:pt>
                <c:pt idx="31">
                  <c:v>401.14149770273212</c:v>
                </c:pt>
                <c:pt idx="32">
                  <c:v>404.15005893550261</c:v>
                </c:pt>
                <c:pt idx="33">
                  <c:v>407.18118437751889</c:v>
                </c:pt>
                <c:pt idx="34">
                  <c:v>410.23504326035027</c:v>
                </c:pt>
                <c:pt idx="35">
                  <c:v>413.31180608480292</c:v>
                </c:pt>
                <c:pt idx="36">
                  <c:v>416.4116446304389</c:v>
                </c:pt>
                <c:pt idx="37">
                  <c:v>419.53473196516723</c:v>
                </c:pt>
                <c:pt idx="38">
                  <c:v>422.681242454906</c:v>
                </c:pt>
                <c:pt idx="39">
                  <c:v>425.85135177331779</c:v>
                </c:pt>
                <c:pt idx="40">
                  <c:v>429.04523691161762</c:v>
                </c:pt>
                <c:pt idx="41">
                  <c:v>432.26307618845476</c:v>
                </c:pt>
                <c:pt idx="42">
                  <c:v>435.5050492598682</c:v>
                </c:pt>
                <c:pt idx="43">
                  <c:v>438.7713371293172</c:v>
                </c:pt>
                <c:pt idx="44">
                  <c:v>442.06212215778709</c:v>
                </c:pt>
                <c:pt idx="45">
                  <c:v>445.37758807397051</c:v>
                </c:pt>
                <c:pt idx="46">
                  <c:v>448.71791998452528</c:v>
                </c:pt>
                <c:pt idx="47">
                  <c:v>452.08330438440919</c:v>
                </c:pt>
                <c:pt idx="48">
                  <c:v>455.47392916729228</c:v>
                </c:pt>
                <c:pt idx="49">
                  <c:v>458.88998363604696</c:v>
                </c:pt>
                <c:pt idx="50">
                  <c:v>462.33165851331734</c:v>
                </c:pt>
                <c:pt idx="51">
                  <c:v>465.79914595216718</c:v>
                </c:pt>
                <c:pt idx="52">
                  <c:v>469.29263954680846</c:v>
                </c:pt>
                <c:pt idx="53">
                  <c:v>472.81233434340953</c:v>
                </c:pt>
                <c:pt idx="54">
                  <c:v>476.3584268509851</c:v>
                </c:pt>
                <c:pt idx="55">
                  <c:v>479.93111505236749</c:v>
                </c:pt>
                <c:pt idx="56">
                  <c:v>483.53059841526022</c:v>
                </c:pt>
                <c:pt idx="57">
                  <c:v>487.15707790337467</c:v>
                </c:pt>
                <c:pt idx="58">
                  <c:v>490.81075598765</c:v>
                </c:pt>
                <c:pt idx="59">
                  <c:v>494.49183665755737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391-4F3D-9FD0-65D2AE6C0A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8963440"/>
        <c:axId val="267494208"/>
      </c:scatterChart>
      <c:valAx>
        <c:axId val="7489634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7494208"/>
        <c:crosses val="autoZero"/>
        <c:crossBetween val="midCat"/>
      </c:valAx>
      <c:valAx>
        <c:axId val="267494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89634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'Loan 2'!$J$2</c:f>
              <c:strCache>
                <c:ptCount val="1"/>
                <c:pt idx="0">
                  <c:v>Interest
 Paid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'Loan 2'!$H$3:$H$62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xVal>
          <c:yVal>
            <c:numRef>
              <c:f>'Loan 2'!$J$3:$J$62</c:f>
              <c:numCache>
                <c:formatCode>_("$"* #,##0.00_);_("$"* \(#,##0.00\);_("$"* "-"??_);_(@_)</c:formatCode>
                <c:ptCount val="60"/>
                <c:pt idx="0">
                  <c:v>275</c:v>
                </c:pt>
                <c:pt idx="1">
                  <c:v>273.73270802280553</c:v>
                </c:pt>
                <c:pt idx="2">
                  <c:v>272.45379920248666</c:v>
                </c:pt>
                <c:pt idx="3">
                  <c:v>271.16316705131499</c:v>
                </c:pt>
                <c:pt idx="4">
                  <c:v>269.86070410542419</c:v>
                </c:pt>
                <c:pt idx="5">
                  <c:v>268.54630191586273</c:v>
                </c:pt>
                <c:pt idx="6">
                  <c:v>267.21985103956359</c:v>
                </c:pt>
                <c:pt idx="7">
                  <c:v>265.88124103023176</c:v>
                </c:pt>
                <c:pt idx="8">
                  <c:v>264.53036042914772</c:v>
                </c:pt>
                <c:pt idx="9">
                  <c:v>263.16709675588703</c:v>
                </c:pt>
                <c:pt idx="10">
                  <c:v>261.79133649895482</c:v>
                </c:pt>
                <c:pt idx="11">
                  <c:v>260.40296510633408</c:v>
                </c:pt>
                <c:pt idx="12">
                  <c:v>259.00186697594762</c:v>
                </c:pt>
                <c:pt idx="13">
                  <c:v>257.58792544603261</c:v>
                </c:pt>
                <c:pt idx="14">
                  <c:v>256.16102278542672</c:v>
                </c:pt>
                <c:pt idx="15">
                  <c:v>254.7210401837653</c:v>
                </c:pt>
                <c:pt idx="16">
                  <c:v>253.26785774158861</c:v>
                </c:pt>
                <c:pt idx="17">
                  <c:v>251.80135446035865</c:v>
                </c:pt>
                <c:pt idx="18">
                  <c:v>250.3214082323841</c:v>
                </c:pt>
                <c:pt idx="19">
                  <c:v>248.82789583065309</c:v>
                </c:pt>
                <c:pt idx="20">
                  <c:v>247.3206928985729</c:v>
                </c:pt>
                <c:pt idx="21">
                  <c:v>245.7996739396153</c:v>
                </c:pt>
                <c:pt idx="22">
                  <c:v>244.26471230686727</c:v>
                </c:pt>
                <c:pt idx="23">
                  <c:v>242.71568019248573</c:v>
                </c:pt>
                <c:pt idx="24">
                  <c:v>241.15244861705565</c:v>
                </c:pt>
                <c:pt idx="25">
                  <c:v>239.57488741885081</c:v>
                </c:pt>
                <c:pt idx="26">
                  <c:v>237.98286524299576</c:v>
                </c:pt>
                <c:pt idx="27">
                  <c:v>236.3762495305287</c:v>
                </c:pt>
                <c:pt idx="28">
                  <c:v>234.75490650736404</c:v>
                </c:pt>
                <c:pt idx="29">
                  <c:v>233.11870117315368</c:v>
                </c:pt>
                <c:pt idx="30">
                  <c:v>231.46749729004642</c:v>
                </c:pt>
                <c:pt idx="31">
                  <c:v>229.801157371344</c:v>
                </c:pt>
                <c:pt idx="32">
                  <c:v>228.11954267005348</c:v>
                </c:pt>
                <c:pt idx="33">
                  <c:v>226.42251316733444</c:v>
                </c:pt>
                <c:pt idx="34">
                  <c:v>224.7099275608405</c:v>
                </c:pt>
                <c:pt idx="35">
                  <c:v>222.98164325295369</c:v>
                </c:pt>
                <c:pt idx="36">
                  <c:v>221.23751633891123</c:v>
                </c:pt>
                <c:pt idx="37">
                  <c:v>219.47740159482339</c:v>
                </c:pt>
                <c:pt idx="38">
                  <c:v>217.7011524655814</c:v>
                </c:pt>
                <c:pt idx="39">
                  <c:v>215.90862105265472</c:v>
                </c:pt>
                <c:pt idx="40">
                  <c:v>214.09965810177621</c:v>
                </c:pt>
                <c:pt idx="41">
                  <c:v>212.27411299051465</c:v>
                </c:pt>
                <c:pt idx="42">
                  <c:v>210.43183371573318</c:v>
                </c:pt>
                <c:pt idx="43">
                  <c:v>208.57266688093287</c:v>
                </c:pt>
                <c:pt idx="44">
                  <c:v>206.69645768348028</c:v>
                </c:pt>
                <c:pt idx="45">
                  <c:v>204.80304990171766</c:v>
                </c:pt>
                <c:pt idx="46">
                  <c:v>202.89228588195556</c:v>
                </c:pt>
                <c:pt idx="47">
                  <c:v>200.96400652534564</c:v>
                </c:pt>
                <c:pt idx="48">
                  <c:v>199.01805127463345</c:v>
                </c:pt>
                <c:pt idx="49">
                  <c:v>197.05425810078972</c:v>
                </c:pt>
                <c:pt idx="50">
                  <c:v>195.07246348951909</c:v>
                </c:pt>
                <c:pt idx="51">
                  <c:v>193.07250242764516</c:v>
                </c:pt>
                <c:pt idx="52">
                  <c:v>191.05420838937073</c:v>
                </c:pt>
                <c:pt idx="53">
                  <c:v>189.01741332241212</c:v>
                </c:pt>
                <c:pt idx="54">
                  <c:v>186.96194763400638</c:v>
                </c:pt>
                <c:pt idx="55">
                  <c:v>184.88764017679026</c:v>
                </c:pt>
                <c:pt idx="56">
                  <c:v>182.79431823454965</c:v>
                </c:pt>
                <c:pt idx="57">
                  <c:v>180.68180750783853</c:v>
                </c:pt>
                <c:pt idx="58">
                  <c:v>178.54993209946585</c:v>
                </c:pt>
                <c:pt idx="59">
                  <c:v>176.39851449984977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3C0-4078-961B-043EBF2E15BE}"/>
            </c:ext>
          </c:extLst>
        </c:ser>
        <c:ser>
          <c:idx val="1"/>
          <c:order val="1"/>
          <c:tx>
            <c:strRef>
              <c:f>'Loan 2'!$K$2</c:f>
              <c:strCache>
                <c:ptCount val="1"/>
                <c:pt idx="0">
                  <c:v>Principal
 Paid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'Loan 2'!$H$3:$H$62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xVal>
          <c:yVal>
            <c:numRef>
              <c:f>'Loan 2'!$K$3:$K$62</c:f>
              <c:numCache>
                <c:formatCode>_("$"* #,##0.00_);_("$"* \(#,##0.00\);_("$"* "-"??_);_(@_)</c:formatCode>
                <c:ptCount val="60"/>
                <c:pt idx="0">
                  <c:v>138.25003387576521</c:v>
                </c:pt>
                <c:pt idx="1">
                  <c:v>139.51732585295969</c:v>
                </c:pt>
                <c:pt idx="2">
                  <c:v>140.79623467327855</c:v>
                </c:pt>
                <c:pt idx="3">
                  <c:v>142.08686682445023</c:v>
                </c:pt>
                <c:pt idx="4">
                  <c:v>143.38932977034102</c:v>
                </c:pt>
                <c:pt idx="5">
                  <c:v>144.70373195990248</c:v>
                </c:pt>
                <c:pt idx="6">
                  <c:v>146.03018283620162</c:v>
                </c:pt>
                <c:pt idx="7">
                  <c:v>147.36879284553345</c:v>
                </c:pt>
                <c:pt idx="8">
                  <c:v>148.71967344661749</c:v>
                </c:pt>
                <c:pt idx="9">
                  <c:v>150.08293711987818</c:v>
                </c:pt>
                <c:pt idx="10">
                  <c:v>151.45869737681039</c:v>
                </c:pt>
                <c:pt idx="11">
                  <c:v>152.84706876943113</c:v>
                </c:pt>
                <c:pt idx="12">
                  <c:v>154.24816689981759</c:v>
                </c:pt>
                <c:pt idx="13">
                  <c:v>155.6621084297326</c:v>
                </c:pt>
                <c:pt idx="14">
                  <c:v>157.08901109033849</c:v>
                </c:pt>
                <c:pt idx="15">
                  <c:v>158.52899369199991</c:v>
                </c:pt>
                <c:pt idx="16">
                  <c:v>159.9821761341766</c:v>
                </c:pt>
                <c:pt idx="17">
                  <c:v>161.44867941540656</c:v>
                </c:pt>
                <c:pt idx="18">
                  <c:v>162.92862564338111</c:v>
                </c:pt>
                <c:pt idx="19">
                  <c:v>164.42213804511212</c:v>
                </c:pt>
                <c:pt idx="20">
                  <c:v>165.92934097719231</c:v>
                </c:pt>
                <c:pt idx="21">
                  <c:v>167.45035993614991</c:v>
                </c:pt>
                <c:pt idx="22">
                  <c:v>168.98532156889794</c:v>
                </c:pt>
                <c:pt idx="23">
                  <c:v>170.53435368327948</c:v>
                </c:pt>
                <c:pt idx="24">
                  <c:v>172.09758525870956</c:v>
                </c:pt>
                <c:pt idx="25">
                  <c:v>173.6751464569144</c:v>
                </c:pt>
                <c:pt idx="26">
                  <c:v>175.26716863276945</c:v>
                </c:pt>
                <c:pt idx="27">
                  <c:v>176.87378434523652</c:v>
                </c:pt>
                <c:pt idx="28">
                  <c:v>178.49512736840117</c:v>
                </c:pt>
                <c:pt idx="29">
                  <c:v>180.13133270261153</c:v>
                </c:pt>
                <c:pt idx="30">
                  <c:v>181.78253658571879</c:v>
                </c:pt>
                <c:pt idx="31">
                  <c:v>183.44887650442121</c:v>
                </c:pt>
                <c:pt idx="32">
                  <c:v>185.13049120571173</c:v>
                </c:pt>
                <c:pt idx="33">
                  <c:v>186.82752070843077</c:v>
                </c:pt>
                <c:pt idx="34">
                  <c:v>188.54010631492471</c:v>
                </c:pt>
                <c:pt idx="35">
                  <c:v>190.26839062281152</c:v>
                </c:pt>
                <c:pt idx="36">
                  <c:v>192.01251753685398</c:v>
                </c:pt>
                <c:pt idx="37">
                  <c:v>193.77263228094182</c:v>
                </c:pt>
                <c:pt idx="38">
                  <c:v>195.54888141018381</c:v>
                </c:pt>
                <c:pt idx="39">
                  <c:v>197.34141282311049</c:v>
                </c:pt>
                <c:pt idx="40">
                  <c:v>199.150375773989</c:v>
                </c:pt>
                <c:pt idx="41">
                  <c:v>200.97592088525056</c:v>
                </c:pt>
                <c:pt idx="42">
                  <c:v>202.81820016003203</c:v>
                </c:pt>
                <c:pt idx="43">
                  <c:v>204.67736699483234</c:v>
                </c:pt>
                <c:pt idx="44">
                  <c:v>206.55357619228494</c:v>
                </c:pt>
                <c:pt idx="45">
                  <c:v>208.44698397404755</c:v>
                </c:pt>
                <c:pt idx="46">
                  <c:v>210.35774799380965</c:v>
                </c:pt>
                <c:pt idx="47">
                  <c:v>212.28602735041957</c:v>
                </c:pt>
                <c:pt idx="48">
                  <c:v>214.23198260113176</c:v>
                </c:pt>
                <c:pt idx="49">
                  <c:v>216.19577577497549</c:v>
                </c:pt>
                <c:pt idx="50">
                  <c:v>218.17757038624612</c:v>
                </c:pt>
                <c:pt idx="51">
                  <c:v>220.17753144812005</c:v>
                </c:pt>
                <c:pt idx="52">
                  <c:v>222.19582548639448</c:v>
                </c:pt>
                <c:pt idx="53">
                  <c:v>224.23262055335309</c:v>
                </c:pt>
                <c:pt idx="54">
                  <c:v>226.28808624175883</c:v>
                </c:pt>
                <c:pt idx="55">
                  <c:v>228.36239369897496</c:v>
                </c:pt>
                <c:pt idx="56">
                  <c:v>230.45571564121556</c:v>
                </c:pt>
                <c:pt idx="57">
                  <c:v>232.56822636792668</c:v>
                </c:pt>
                <c:pt idx="58">
                  <c:v>234.70010177629936</c:v>
                </c:pt>
                <c:pt idx="59">
                  <c:v>236.85151937591544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3C0-4078-961B-043EBF2E15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8963440"/>
        <c:axId val="267494208"/>
      </c:scatterChart>
      <c:valAx>
        <c:axId val="7489634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7494208"/>
        <c:crosses val="autoZero"/>
        <c:crossBetween val="midCat"/>
      </c:valAx>
      <c:valAx>
        <c:axId val="267494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89634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'exponential vs. linear '!$B$3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0"/>
            <c:dispEq val="1"/>
            <c:trendlineLbl>
              <c:layout>
                <c:manualLayout>
                  <c:x val="7.7987751531058622E-3"/>
                  <c:y val="-0.1254166666666666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'exponential vs. linear '!$A$4:$A$8</c:f>
              <c:numCache>
                <c:formatCode>General</c:formatCode>
                <c:ptCount val="5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</c:numCache>
            </c:numRef>
          </c:xVal>
          <c:yVal>
            <c:numRef>
              <c:f>'exponential vs. linear '!$B$4:$B$8</c:f>
              <c:numCache>
                <c:formatCode>General</c:formatCode>
                <c:ptCount val="5"/>
                <c:pt idx="0">
                  <c:v>2.2999999999999998</c:v>
                </c:pt>
                <c:pt idx="1">
                  <c:v>2.5099999999999998</c:v>
                </c:pt>
                <c:pt idx="2">
                  <c:v>2.73</c:v>
                </c:pt>
                <c:pt idx="3">
                  <c:v>2.98</c:v>
                </c:pt>
                <c:pt idx="4">
                  <c:v>3.25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559-48DF-8209-E03FB27447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9834192"/>
        <c:axId val="269586464"/>
      </c:scatterChart>
      <c:valAx>
        <c:axId val="2498341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9586464"/>
        <c:crosses val="autoZero"/>
        <c:crossBetween val="midCat"/>
      </c:valAx>
      <c:valAx>
        <c:axId val="269586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98341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'exponential vs. linear '!$I$3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0"/>
            <c:dispEq val="1"/>
            <c:trendlineLbl>
              <c:layout>
                <c:manualLayout>
                  <c:x val="3.9027985632021943E-2"/>
                  <c:y val="-0.1223293760226098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'exponential vs. linear '!$H$4:$H$8</c:f>
              <c:numCache>
                <c:formatCode>General</c:formatCode>
                <c:ptCount val="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</c:numCache>
            </c:numRef>
          </c:xVal>
          <c:yVal>
            <c:numRef>
              <c:f>'exponential vs. linear '!$I$4:$I$8</c:f>
              <c:numCache>
                <c:formatCode>General</c:formatCode>
                <c:ptCount val="5"/>
                <c:pt idx="0">
                  <c:v>2.2999999999999998</c:v>
                </c:pt>
                <c:pt idx="1">
                  <c:v>2.5099999999999998</c:v>
                </c:pt>
                <c:pt idx="2">
                  <c:v>2.73</c:v>
                </c:pt>
                <c:pt idx="3">
                  <c:v>2.98</c:v>
                </c:pt>
                <c:pt idx="4">
                  <c:v>3.25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AF5-4219-9BA0-868C55763E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239904"/>
        <c:axId val="261670992"/>
      </c:scatterChart>
      <c:valAx>
        <c:axId val="692399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1670992"/>
        <c:crosses val="autoZero"/>
        <c:crossBetween val="midCat"/>
      </c:valAx>
      <c:valAx>
        <c:axId val="261670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2399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'exponential vs. linear '!$O$3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8.9709807887289078E-2"/>
                  <c:y val="-0.1848848820759737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'exponential vs. linear '!$N$4:$N$8</c:f>
              <c:numCache>
                <c:formatCode>General</c:formatCode>
                <c:ptCount val="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</c:numCache>
            </c:numRef>
          </c:xVal>
          <c:yVal>
            <c:numRef>
              <c:f>'exponential vs. linear '!$O$4:$O$8</c:f>
              <c:numCache>
                <c:formatCode>General</c:formatCode>
                <c:ptCount val="5"/>
                <c:pt idx="0">
                  <c:v>2.2999999999999998</c:v>
                </c:pt>
                <c:pt idx="1">
                  <c:v>2.5099999999999998</c:v>
                </c:pt>
                <c:pt idx="2">
                  <c:v>2.73</c:v>
                </c:pt>
                <c:pt idx="3">
                  <c:v>2.98</c:v>
                </c:pt>
                <c:pt idx="4">
                  <c:v>3.25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C6C-47D8-B0CA-7690402AC5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253824"/>
        <c:axId val="741448576"/>
      </c:scatterChart>
      <c:valAx>
        <c:axId val="692538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1448576"/>
        <c:crosses val="autoZero"/>
        <c:crossBetween val="midCat"/>
      </c:valAx>
      <c:valAx>
        <c:axId val="741448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2538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image" Target="../media/image1.png"/><Relationship Id="rId5" Type="http://schemas.openxmlformats.org/officeDocument/2006/relationships/chart" Target="../charts/chart5.xml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154357</xdr:colOff>
      <xdr:row>7</xdr:row>
      <xdr:rowOff>91775</xdr:rowOff>
    </xdr:from>
    <xdr:to>
      <xdr:col>6</xdr:col>
      <xdr:colOff>389282</xdr:colOff>
      <xdr:row>22</xdr:row>
      <xdr:rowOff>149087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8FA73A4-113C-C8F1-C45B-6E2A063B87D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435965</xdr:colOff>
      <xdr:row>1</xdr:row>
      <xdr:rowOff>133187</xdr:rowOff>
    </xdr:from>
    <xdr:to>
      <xdr:col>20</xdr:col>
      <xdr:colOff>461943</xdr:colOff>
      <xdr:row>13</xdr:row>
      <xdr:rowOff>143414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C9E2893-B9DE-4AB5-B27C-EF0364E67F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352425</xdr:colOff>
      <xdr:row>26</xdr:row>
      <xdr:rowOff>47625</xdr:rowOff>
    </xdr:from>
    <xdr:ext cx="2200582" cy="1762371"/>
    <xdr:pic>
      <xdr:nvPicPr>
        <xdr:cNvPr id="2" name="Picture 1">
          <a:extLst>
            <a:ext uri="{FF2B5EF4-FFF2-40B4-BE49-F238E27FC236}">
              <a16:creationId xmlns:a16="http://schemas.microsoft.com/office/drawing/2014/main" id="{B2D8147D-F7FF-4B33-940B-9DD419AC6B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2425" y="4752975"/>
          <a:ext cx="2200582" cy="1762371"/>
        </a:xfrm>
        <a:prstGeom prst="rect">
          <a:avLst/>
        </a:prstGeom>
      </xdr:spPr>
    </xdr:pic>
    <xdr:clientData/>
  </xdr:oneCellAnchor>
  <xdr:twoCellAnchor>
    <xdr:from>
      <xdr:col>0</xdr:col>
      <xdr:colOff>209550</xdr:colOff>
      <xdr:row>10</xdr:row>
      <xdr:rowOff>66674</xdr:rowOff>
    </xdr:from>
    <xdr:to>
      <xdr:col>5</xdr:col>
      <xdr:colOff>66675</xdr:colOff>
      <xdr:row>23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45EF302-7F01-4108-92CA-4D8753D7EC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361949</xdr:colOff>
      <xdr:row>17</xdr:row>
      <xdr:rowOff>76200</xdr:rowOff>
    </xdr:from>
    <xdr:to>
      <xdr:col>11</xdr:col>
      <xdr:colOff>685801</xdr:colOff>
      <xdr:row>29</xdr:row>
      <xdr:rowOff>57150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DE674A6-B19B-46B7-9B5D-0AEE56EBD6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oneCellAnchor>
    <xdr:from>
      <xdr:col>7</xdr:col>
      <xdr:colOff>19050</xdr:colOff>
      <xdr:row>14</xdr:row>
      <xdr:rowOff>85725</xdr:rowOff>
    </xdr:from>
    <xdr:ext cx="1428703" cy="409705"/>
    <xdr:pic>
      <xdr:nvPicPr>
        <xdr:cNvPr id="5" name="Picture 4">
          <a:extLst>
            <a:ext uri="{FF2B5EF4-FFF2-40B4-BE49-F238E27FC236}">
              <a16:creationId xmlns:a16="http://schemas.microsoft.com/office/drawing/2014/main" id="{2293721C-1656-4EAD-B43C-79E3E42AD2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552950" y="2619375"/>
          <a:ext cx="1428703" cy="409705"/>
        </a:xfrm>
        <a:prstGeom prst="rect">
          <a:avLst/>
        </a:prstGeom>
      </xdr:spPr>
    </xdr:pic>
    <xdr:clientData/>
  </xdr:oneCellAnchor>
  <xdr:twoCellAnchor>
    <xdr:from>
      <xdr:col>13</xdr:col>
      <xdr:colOff>142874</xdr:colOff>
      <xdr:row>17</xdr:row>
      <xdr:rowOff>57150</xdr:rowOff>
    </xdr:from>
    <xdr:to>
      <xdr:col>18</xdr:col>
      <xdr:colOff>409575</xdr:colOff>
      <xdr:row>28</xdr:row>
      <xdr:rowOff>133349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8D69D28-BEB1-4189-AC2B-0FA628A2478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EAF257-F6FA-48EA-A7F7-327055416DF5}">
  <dimension ref="A1:N63"/>
  <sheetViews>
    <sheetView tabSelected="1" zoomScale="115" zoomScaleNormal="115" workbookViewId="0">
      <selection activeCell="J3" sqref="J3"/>
    </sheetView>
  </sheetViews>
  <sheetFormatPr defaultRowHeight="14.25" x14ac:dyDescent="0.45"/>
  <cols>
    <col min="3" max="3" width="11.86328125" bestFit="1" customWidth="1"/>
    <col min="6" max="6" width="11.86328125" bestFit="1" customWidth="1"/>
    <col min="7" max="7" width="11.86328125" customWidth="1"/>
    <col min="9" max="9" width="11" customWidth="1"/>
    <col min="10" max="11" width="12.59765625" customWidth="1"/>
    <col min="12" max="13" width="10.86328125" bestFit="1" customWidth="1"/>
  </cols>
  <sheetData>
    <row r="1" spans="1:14" ht="57" x14ac:dyDescent="0.45">
      <c r="A1" s="5" t="s">
        <v>16</v>
      </c>
      <c r="C1" s="1">
        <v>30000</v>
      </c>
    </row>
    <row r="2" spans="1:14" ht="71.25" x14ac:dyDescent="0.45">
      <c r="A2" s="5" t="s">
        <v>17</v>
      </c>
      <c r="C2" s="1">
        <f xml:space="preserve"> (1-C5)*C1</f>
        <v>24000</v>
      </c>
      <c r="E2" t="s">
        <v>5</v>
      </c>
      <c r="F2" s="3">
        <f>C2</f>
        <v>24000</v>
      </c>
      <c r="G2" s="3"/>
      <c r="H2" s="12" t="s">
        <v>9</v>
      </c>
      <c r="I2" s="12" t="s">
        <v>7</v>
      </c>
      <c r="J2" s="13" t="s">
        <v>10</v>
      </c>
      <c r="K2" s="13" t="s">
        <v>11</v>
      </c>
      <c r="L2" s="12" t="s">
        <v>8</v>
      </c>
      <c r="M2" s="13" t="s">
        <v>12</v>
      </c>
      <c r="N2" s="6"/>
    </row>
    <row r="3" spans="1:14" x14ac:dyDescent="0.45">
      <c r="A3" t="s">
        <v>1</v>
      </c>
      <c r="C3" s="2">
        <v>0.09</v>
      </c>
      <c r="E3" t="s">
        <v>4</v>
      </c>
      <c r="F3" s="4">
        <f>C3/12</f>
        <v>7.4999999999999997E-3</v>
      </c>
      <c r="G3" s="4"/>
      <c r="H3" s="9">
        <v>1</v>
      </c>
      <c r="I3" s="10">
        <f>C2</f>
        <v>24000</v>
      </c>
      <c r="J3" s="10">
        <f>I3*F3</f>
        <v>180</v>
      </c>
      <c r="K3" s="10">
        <f>L3-J3</f>
        <v>318.20052543249165</v>
      </c>
      <c r="L3" s="10">
        <f>$F$6</f>
        <v>498.20052543249165</v>
      </c>
      <c r="M3" s="10">
        <f>I3-K3</f>
        <v>23681.79947456751</v>
      </c>
    </row>
    <row r="4" spans="1:14" x14ac:dyDescent="0.45">
      <c r="A4" t="s">
        <v>2</v>
      </c>
      <c r="C4">
        <v>5</v>
      </c>
      <c r="E4" t="s">
        <v>3</v>
      </c>
      <c r="F4">
        <f>C4*12</f>
        <v>60</v>
      </c>
      <c r="H4" s="9">
        <v>2</v>
      </c>
      <c r="I4" s="10">
        <f>M3</f>
        <v>23681.79947456751</v>
      </c>
      <c r="J4" s="10">
        <f>I4*$F$3</f>
        <v>177.61349605925631</v>
      </c>
      <c r="K4" s="10">
        <f>L4-J4</f>
        <v>320.58702937323534</v>
      </c>
      <c r="L4" s="10">
        <f t="shared" ref="L4:L62" si="0">$F$6</f>
        <v>498.20052543249165</v>
      </c>
      <c r="M4" s="10">
        <f>I4-K4</f>
        <v>23361.212445194273</v>
      </c>
    </row>
    <row r="5" spans="1:14" x14ac:dyDescent="0.45">
      <c r="A5" t="s">
        <v>15</v>
      </c>
      <c r="C5" s="11">
        <v>0.2</v>
      </c>
      <c r="H5" s="9">
        <v>3</v>
      </c>
      <c r="I5" s="10">
        <f>M4</f>
        <v>23361.212445194273</v>
      </c>
      <c r="J5" s="10">
        <f t="shared" ref="J5:J62" si="1">I5*$F$3</f>
        <v>175.20909333895705</v>
      </c>
      <c r="K5" s="10">
        <f t="shared" ref="K5:K62" si="2">L5-J5</f>
        <v>322.99143209353463</v>
      </c>
      <c r="L5" s="10">
        <f t="shared" si="0"/>
        <v>498.20052543249165</v>
      </c>
      <c r="M5" s="10">
        <f t="shared" ref="M5:M62" si="3">I5-K5</f>
        <v>23038.221013100738</v>
      </c>
    </row>
    <row r="6" spans="1:14" ht="28.5" x14ac:dyDescent="0.45">
      <c r="C6" s="3"/>
      <c r="E6" s="5" t="s">
        <v>6</v>
      </c>
      <c r="F6" s="3">
        <f xml:space="preserve"> F2*F3*(1+F3)^F4/((1+F3)^F4-1)</f>
        <v>498.20052543249165</v>
      </c>
      <c r="G6" s="3"/>
      <c r="H6" s="9">
        <v>4</v>
      </c>
      <c r="I6" s="10">
        <f t="shared" ref="I6:I62" si="4">M5</f>
        <v>23038.221013100738</v>
      </c>
      <c r="J6" s="10">
        <f t="shared" si="1"/>
        <v>172.78665759825552</v>
      </c>
      <c r="K6" s="10">
        <f t="shared" si="2"/>
        <v>325.41386783423616</v>
      </c>
      <c r="L6" s="10">
        <f t="shared" si="0"/>
        <v>498.20052543249165</v>
      </c>
      <c r="M6" s="10">
        <f t="shared" si="3"/>
        <v>22712.807145266503</v>
      </c>
    </row>
    <row r="7" spans="1:14" x14ac:dyDescent="0.45">
      <c r="H7" s="9">
        <v>5</v>
      </c>
      <c r="I7" s="10">
        <f t="shared" si="4"/>
        <v>22712.807145266503</v>
      </c>
      <c r="J7" s="10">
        <f t="shared" si="1"/>
        <v>170.34605358949875</v>
      </c>
      <c r="K7" s="10">
        <f t="shared" si="2"/>
        <v>327.85447184299289</v>
      </c>
      <c r="L7" s="10">
        <f t="shared" si="0"/>
        <v>498.20052543249165</v>
      </c>
      <c r="M7" s="10">
        <f t="shared" si="3"/>
        <v>22384.952673423511</v>
      </c>
    </row>
    <row r="8" spans="1:14" x14ac:dyDescent="0.45">
      <c r="H8" s="9">
        <v>6</v>
      </c>
      <c r="I8" s="10">
        <f t="shared" si="4"/>
        <v>22384.952673423511</v>
      </c>
      <c r="J8" s="10">
        <f t="shared" si="1"/>
        <v>167.88714505067634</v>
      </c>
      <c r="K8" s="10">
        <f t="shared" si="2"/>
        <v>330.31338038181531</v>
      </c>
      <c r="L8" s="10">
        <f t="shared" si="0"/>
        <v>498.20052543249165</v>
      </c>
      <c r="M8" s="10">
        <f t="shared" si="3"/>
        <v>22054.639293041695</v>
      </c>
    </row>
    <row r="9" spans="1:14" x14ac:dyDescent="0.45">
      <c r="H9" s="9">
        <v>7</v>
      </c>
      <c r="I9" s="10">
        <f t="shared" si="4"/>
        <v>22054.639293041695</v>
      </c>
      <c r="J9" s="10">
        <f t="shared" si="1"/>
        <v>165.40979469781271</v>
      </c>
      <c r="K9" s="10">
        <f t="shared" si="2"/>
        <v>332.79073073467896</v>
      </c>
      <c r="L9" s="10">
        <f t="shared" si="0"/>
        <v>498.20052543249165</v>
      </c>
      <c r="M9" s="10">
        <f t="shared" si="3"/>
        <v>21721.848562307016</v>
      </c>
    </row>
    <row r="10" spans="1:14" x14ac:dyDescent="0.45">
      <c r="H10" s="9">
        <v>8</v>
      </c>
      <c r="I10" s="10">
        <f t="shared" si="4"/>
        <v>21721.848562307016</v>
      </c>
      <c r="J10" s="10">
        <f t="shared" si="1"/>
        <v>162.9138642173026</v>
      </c>
      <c r="K10" s="10">
        <f t="shared" si="2"/>
        <v>335.28666121518904</v>
      </c>
      <c r="L10" s="10">
        <f t="shared" si="0"/>
        <v>498.20052543249165</v>
      </c>
      <c r="M10" s="10">
        <f t="shared" si="3"/>
        <v>21386.561901091827</v>
      </c>
    </row>
    <row r="11" spans="1:14" x14ac:dyDescent="0.45">
      <c r="H11" s="9">
        <v>9</v>
      </c>
      <c r="I11" s="10">
        <f t="shared" si="4"/>
        <v>21386.561901091827</v>
      </c>
      <c r="J11" s="10">
        <f t="shared" si="1"/>
        <v>160.39921425818869</v>
      </c>
      <c r="K11" s="10">
        <f t="shared" si="2"/>
        <v>337.80131117430295</v>
      </c>
      <c r="L11" s="10">
        <f t="shared" si="0"/>
        <v>498.20052543249165</v>
      </c>
      <c r="M11" s="10">
        <f t="shared" si="3"/>
        <v>21048.760589917525</v>
      </c>
    </row>
    <row r="12" spans="1:14" x14ac:dyDescent="0.45">
      <c r="H12" s="9">
        <v>10</v>
      </c>
      <c r="I12" s="10">
        <f t="shared" si="4"/>
        <v>21048.760589917525</v>
      </c>
      <c r="J12" s="10">
        <f t="shared" si="1"/>
        <v>157.86570442438142</v>
      </c>
      <c r="K12" s="10">
        <f t="shared" si="2"/>
        <v>340.33482100811023</v>
      </c>
      <c r="L12" s="10">
        <f t="shared" si="0"/>
        <v>498.20052543249165</v>
      </c>
      <c r="M12" s="10">
        <f t="shared" si="3"/>
        <v>20708.425768909416</v>
      </c>
    </row>
    <row r="13" spans="1:14" x14ac:dyDescent="0.45">
      <c r="H13" s="9">
        <v>11</v>
      </c>
      <c r="I13" s="10">
        <f t="shared" si="4"/>
        <v>20708.425768909416</v>
      </c>
      <c r="J13" s="10">
        <f t="shared" si="1"/>
        <v>155.3131932668206</v>
      </c>
      <c r="K13" s="10">
        <f t="shared" si="2"/>
        <v>342.88733216567107</v>
      </c>
      <c r="L13" s="10">
        <f t="shared" si="0"/>
        <v>498.20052543249165</v>
      </c>
      <c r="M13" s="10">
        <f t="shared" si="3"/>
        <v>20365.538436743744</v>
      </c>
    </row>
    <row r="14" spans="1:14" x14ac:dyDescent="0.45">
      <c r="H14" s="9">
        <v>12</v>
      </c>
      <c r="I14" s="10">
        <f t="shared" si="4"/>
        <v>20365.538436743744</v>
      </c>
      <c r="J14" s="10">
        <f t="shared" si="1"/>
        <v>152.74153827557808</v>
      </c>
      <c r="K14" s="10">
        <f t="shared" si="2"/>
        <v>345.45898715691357</v>
      </c>
      <c r="L14" s="10">
        <f t="shared" si="0"/>
        <v>498.20052543249165</v>
      </c>
      <c r="M14" s="10">
        <f t="shared" si="3"/>
        <v>20020.079449586829</v>
      </c>
    </row>
    <row r="15" spans="1:14" x14ac:dyDescent="0.45">
      <c r="H15" s="9">
        <v>13</v>
      </c>
      <c r="I15" s="10">
        <f t="shared" si="4"/>
        <v>20020.079449586829</v>
      </c>
      <c r="J15" s="10">
        <f t="shared" si="1"/>
        <v>150.1505958719012</v>
      </c>
      <c r="K15" s="10">
        <f t="shared" si="2"/>
        <v>348.04992956059044</v>
      </c>
      <c r="L15" s="10">
        <f t="shared" si="0"/>
        <v>498.20052543249165</v>
      </c>
      <c r="M15" s="10">
        <f t="shared" si="3"/>
        <v>19672.029520026237</v>
      </c>
    </row>
    <row r="16" spans="1:14" x14ac:dyDescent="0.45">
      <c r="H16" s="9">
        <v>14</v>
      </c>
      <c r="I16" s="10">
        <f t="shared" si="4"/>
        <v>19672.029520026237</v>
      </c>
      <c r="J16" s="10">
        <f t="shared" si="1"/>
        <v>147.54022140019677</v>
      </c>
      <c r="K16" s="10">
        <f t="shared" si="2"/>
        <v>350.6603040322949</v>
      </c>
      <c r="L16" s="10">
        <f t="shared" si="0"/>
        <v>498.20052543249165</v>
      </c>
      <c r="M16" s="10">
        <f t="shared" si="3"/>
        <v>19321.369215993942</v>
      </c>
    </row>
    <row r="17" spans="8:13" x14ac:dyDescent="0.45">
      <c r="H17" s="9">
        <v>15</v>
      </c>
      <c r="I17" s="10">
        <f t="shared" si="4"/>
        <v>19321.369215993942</v>
      </c>
      <c r="J17" s="10">
        <f t="shared" si="1"/>
        <v>144.91026911995456</v>
      </c>
      <c r="K17" s="10">
        <f t="shared" si="2"/>
        <v>353.29025631253705</v>
      </c>
      <c r="L17" s="10">
        <f t="shared" si="0"/>
        <v>498.20052543249165</v>
      </c>
      <c r="M17" s="10">
        <f t="shared" si="3"/>
        <v>18968.078959681407</v>
      </c>
    </row>
    <row r="18" spans="8:13" x14ac:dyDescent="0.45">
      <c r="H18" s="9">
        <v>16</v>
      </c>
      <c r="I18" s="10">
        <f t="shared" si="4"/>
        <v>18968.078959681407</v>
      </c>
      <c r="J18" s="10">
        <f t="shared" si="1"/>
        <v>142.26059219761055</v>
      </c>
      <c r="K18" s="10">
        <f t="shared" si="2"/>
        <v>355.9399332348811</v>
      </c>
      <c r="L18" s="10">
        <f t="shared" si="0"/>
        <v>498.20052543249165</v>
      </c>
      <c r="M18" s="10">
        <f t="shared" si="3"/>
        <v>18612.139026446526</v>
      </c>
    </row>
    <row r="19" spans="8:13" x14ac:dyDescent="0.45">
      <c r="H19" s="9">
        <v>17</v>
      </c>
      <c r="I19" s="10">
        <f t="shared" si="4"/>
        <v>18612.139026446526</v>
      </c>
      <c r="J19" s="10">
        <f t="shared" si="1"/>
        <v>139.59104269834893</v>
      </c>
      <c r="K19" s="10">
        <f t="shared" si="2"/>
        <v>358.60948273414272</v>
      </c>
      <c r="L19" s="10">
        <f t="shared" si="0"/>
        <v>498.20052543249165</v>
      </c>
      <c r="M19" s="10">
        <f t="shared" si="3"/>
        <v>18253.529543712382</v>
      </c>
    </row>
    <row r="20" spans="8:13" x14ac:dyDescent="0.45">
      <c r="H20" s="9">
        <v>18</v>
      </c>
      <c r="I20" s="10">
        <f t="shared" si="4"/>
        <v>18253.529543712382</v>
      </c>
      <c r="J20" s="10">
        <f t="shared" si="1"/>
        <v>136.90147157784287</v>
      </c>
      <c r="K20" s="10">
        <f t="shared" si="2"/>
        <v>361.29905385464878</v>
      </c>
      <c r="L20" s="10">
        <f t="shared" si="0"/>
        <v>498.20052543249165</v>
      </c>
      <c r="M20" s="10">
        <f t="shared" si="3"/>
        <v>17892.230489857735</v>
      </c>
    </row>
    <row r="21" spans="8:13" x14ac:dyDescent="0.45">
      <c r="H21" s="9">
        <v>19</v>
      </c>
      <c r="I21" s="10">
        <f t="shared" si="4"/>
        <v>17892.230489857735</v>
      </c>
      <c r="J21" s="10">
        <f t="shared" si="1"/>
        <v>134.191728673933</v>
      </c>
      <c r="K21" s="10">
        <f t="shared" si="2"/>
        <v>364.00879675855867</v>
      </c>
      <c r="L21" s="10">
        <f t="shared" si="0"/>
        <v>498.20052543249165</v>
      </c>
      <c r="M21" s="10">
        <f t="shared" si="3"/>
        <v>17528.221693099178</v>
      </c>
    </row>
    <row r="22" spans="8:13" x14ac:dyDescent="0.45">
      <c r="H22" s="9">
        <v>20</v>
      </c>
      <c r="I22" s="10">
        <f t="shared" si="4"/>
        <v>17528.221693099178</v>
      </c>
      <c r="J22" s="10">
        <f t="shared" si="1"/>
        <v>131.46166269824383</v>
      </c>
      <c r="K22" s="10">
        <f t="shared" si="2"/>
        <v>366.73886273424785</v>
      </c>
      <c r="L22" s="10">
        <f t="shared" si="0"/>
        <v>498.20052543249165</v>
      </c>
      <c r="M22" s="10">
        <f t="shared" si="3"/>
        <v>17161.48283036493</v>
      </c>
    </row>
    <row r="23" spans="8:13" x14ac:dyDescent="0.45">
      <c r="H23" s="9">
        <v>21</v>
      </c>
      <c r="I23" s="10">
        <f t="shared" si="4"/>
        <v>17161.48283036493</v>
      </c>
      <c r="J23" s="10">
        <f t="shared" si="1"/>
        <v>128.71112122773698</v>
      </c>
      <c r="K23" s="10">
        <f t="shared" si="2"/>
        <v>369.48940420475469</v>
      </c>
      <c r="L23" s="10">
        <f t="shared" si="0"/>
        <v>498.20052543249165</v>
      </c>
      <c r="M23" s="10">
        <f t="shared" si="3"/>
        <v>16791.993426160174</v>
      </c>
    </row>
    <row r="24" spans="8:13" x14ac:dyDescent="0.45">
      <c r="H24" s="9">
        <v>22</v>
      </c>
      <c r="I24" s="10">
        <f t="shared" si="4"/>
        <v>16791.993426160174</v>
      </c>
      <c r="J24" s="10">
        <f t="shared" si="1"/>
        <v>125.93995069620129</v>
      </c>
      <c r="K24" s="10">
        <f t="shared" si="2"/>
        <v>372.26057473629032</v>
      </c>
      <c r="L24" s="10">
        <f t="shared" si="0"/>
        <v>498.20052543249165</v>
      </c>
      <c r="M24" s="10">
        <f t="shared" si="3"/>
        <v>16419.732851423883</v>
      </c>
    </row>
    <row r="25" spans="8:13" x14ac:dyDescent="0.45">
      <c r="H25" s="9">
        <v>23</v>
      </c>
      <c r="I25" s="10">
        <f t="shared" si="4"/>
        <v>16419.732851423883</v>
      </c>
      <c r="J25" s="10">
        <f t="shared" si="1"/>
        <v>123.14799638567912</v>
      </c>
      <c r="K25" s="10">
        <f t="shared" si="2"/>
        <v>375.05252904681254</v>
      </c>
      <c r="L25" s="10">
        <f t="shared" si="0"/>
        <v>498.20052543249165</v>
      </c>
      <c r="M25" s="10">
        <f t="shared" si="3"/>
        <v>16044.680322377071</v>
      </c>
    </row>
    <row r="26" spans="8:13" x14ac:dyDescent="0.45">
      <c r="H26" s="9">
        <v>24</v>
      </c>
      <c r="I26" s="10">
        <f t="shared" si="4"/>
        <v>16044.680322377071</v>
      </c>
      <c r="J26" s="10">
        <f t="shared" si="1"/>
        <v>120.33510241782803</v>
      </c>
      <c r="K26" s="10">
        <f t="shared" si="2"/>
        <v>377.86542301466363</v>
      </c>
      <c r="L26" s="10">
        <f t="shared" si="0"/>
        <v>498.20052543249165</v>
      </c>
      <c r="M26" s="10">
        <f t="shared" si="3"/>
        <v>15666.814899362407</v>
      </c>
    </row>
    <row r="27" spans="8:13" x14ac:dyDescent="0.45">
      <c r="H27" s="9">
        <v>25</v>
      </c>
      <c r="I27" s="10">
        <f t="shared" si="4"/>
        <v>15666.814899362407</v>
      </c>
      <c r="J27" s="10">
        <f t="shared" si="1"/>
        <v>117.50111174521805</v>
      </c>
      <c r="K27" s="10">
        <f t="shared" si="2"/>
        <v>380.69941368727359</v>
      </c>
      <c r="L27" s="10">
        <f t="shared" si="0"/>
        <v>498.20052543249165</v>
      </c>
      <c r="M27" s="10">
        <f t="shared" si="3"/>
        <v>15286.115485675135</v>
      </c>
    </row>
    <row r="28" spans="8:13" x14ac:dyDescent="0.45">
      <c r="H28" s="9">
        <v>26</v>
      </c>
      <c r="I28" s="10">
        <f t="shared" si="4"/>
        <v>15286.115485675135</v>
      </c>
      <c r="J28" s="10">
        <f t="shared" si="1"/>
        <v>114.64586614256351</v>
      </c>
      <c r="K28" s="10">
        <f t="shared" si="2"/>
        <v>383.55465928992817</v>
      </c>
      <c r="L28" s="10">
        <f t="shared" si="0"/>
        <v>498.20052543249165</v>
      </c>
      <c r="M28" s="10">
        <f t="shared" si="3"/>
        <v>14902.560826385206</v>
      </c>
    </row>
    <row r="29" spans="8:13" x14ac:dyDescent="0.45">
      <c r="H29" s="9">
        <v>27</v>
      </c>
      <c r="I29" s="10">
        <f t="shared" si="4"/>
        <v>14902.560826385206</v>
      </c>
      <c r="J29" s="10">
        <f t="shared" si="1"/>
        <v>111.76920619788905</v>
      </c>
      <c r="K29" s="10">
        <f t="shared" si="2"/>
        <v>386.4313192346026</v>
      </c>
      <c r="L29" s="10">
        <f t="shared" si="0"/>
        <v>498.20052543249165</v>
      </c>
      <c r="M29" s="10">
        <f t="shared" si="3"/>
        <v>14516.129507150603</v>
      </c>
    </row>
    <row r="30" spans="8:13" x14ac:dyDescent="0.45">
      <c r="H30" s="9">
        <v>28</v>
      </c>
      <c r="I30" s="10">
        <f t="shared" si="4"/>
        <v>14516.129507150603</v>
      </c>
      <c r="J30" s="10">
        <f t="shared" si="1"/>
        <v>108.87097130362952</v>
      </c>
      <c r="K30" s="10">
        <f t="shared" si="2"/>
        <v>389.32955412886213</v>
      </c>
      <c r="L30" s="10">
        <f t="shared" si="0"/>
        <v>498.20052543249165</v>
      </c>
      <c r="M30" s="10">
        <f t="shared" si="3"/>
        <v>14126.79995302174</v>
      </c>
    </row>
    <row r="31" spans="8:13" x14ac:dyDescent="0.45">
      <c r="H31" s="9">
        <v>29</v>
      </c>
      <c r="I31" s="10">
        <f t="shared" si="4"/>
        <v>14126.79995302174</v>
      </c>
      <c r="J31" s="10">
        <f t="shared" si="1"/>
        <v>105.95099964766305</v>
      </c>
      <c r="K31" s="10">
        <f t="shared" si="2"/>
        <v>392.24952578482862</v>
      </c>
      <c r="L31" s="10">
        <f t="shared" si="0"/>
        <v>498.20052543249165</v>
      </c>
      <c r="M31" s="10">
        <f t="shared" si="3"/>
        <v>13734.550427236911</v>
      </c>
    </row>
    <row r="32" spans="8:13" x14ac:dyDescent="0.45">
      <c r="H32" s="9">
        <v>30</v>
      </c>
      <c r="I32" s="10">
        <f t="shared" si="4"/>
        <v>13734.550427236911</v>
      </c>
      <c r="J32" s="10">
        <f t="shared" si="1"/>
        <v>103.00912820427682</v>
      </c>
      <c r="K32" s="10">
        <f t="shared" si="2"/>
        <v>395.19139722821484</v>
      </c>
      <c r="L32" s="10">
        <f t="shared" si="0"/>
        <v>498.20052543249165</v>
      </c>
      <c r="M32" s="10">
        <f t="shared" si="3"/>
        <v>13339.359030008696</v>
      </c>
    </row>
    <row r="33" spans="8:13" x14ac:dyDescent="0.45">
      <c r="H33" s="9">
        <v>31</v>
      </c>
      <c r="I33" s="10">
        <f t="shared" si="4"/>
        <v>13339.359030008696</v>
      </c>
      <c r="J33" s="10">
        <f t="shared" si="1"/>
        <v>100.04519272506522</v>
      </c>
      <c r="K33" s="10">
        <f t="shared" si="2"/>
        <v>398.1553327074264</v>
      </c>
      <c r="L33" s="10">
        <f t="shared" si="0"/>
        <v>498.20052543249165</v>
      </c>
      <c r="M33" s="10">
        <f t="shared" si="3"/>
        <v>12941.203697301269</v>
      </c>
    </row>
    <row r="34" spans="8:13" x14ac:dyDescent="0.45">
      <c r="H34" s="9">
        <v>32</v>
      </c>
      <c r="I34" s="10">
        <f t="shared" si="4"/>
        <v>12941.203697301269</v>
      </c>
      <c r="J34" s="10">
        <f t="shared" si="1"/>
        <v>97.059027729759521</v>
      </c>
      <c r="K34" s="10">
        <f t="shared" si="2"/>
        <v>401.14149770273212</v>
      </c>
      <c r="L34" s="10">
        <f t="shared" si="0"/>
        <v>498.20052543249165</v>
      </c>
      <c r="M34" s="10">
        <f t="shared" si="3"/>
        <v>12540.062199598537</v>
      </c>
    </row>
    <row r="35" spans="8:13" x14ac:dyDescent="0.45">
      <c r="H35" s="9">
        <v>33</v>
      </c>
      <c r="I35" s="10">
        <f t="shared" si="4"/>
        <v>12540.062199598537</v>
      </c>
      <c r="J35" s="10">
        <f t="shared" si="1"/>
        <v>94.050466496989017</v>
      </c>
      <c r="K35" s="10">
        <f t="shared" si="2"/>
        <v>404.15005893550261</v>
      </c>
      <c r="L35" s="10">
        <f t="shared" si="0"/>
        <v>498.20052543249165</v>
      </c>
      <c r="M35" s="10">
        <f t="shared" si="3"/>
        <v>12135.912140663035</v>
      </c>
    </row>
    <row r="36" spans="8:13" x14ac:dyDescent="0.45">
      <c r="H36" s="9">
        <v>34</v>
      </c>
      <c r="I36" s="10">
        <f t="shared" si="4"/>
        <v>12135.912140663035</v>
      </c>
      <c r="J36" s="10">
        <f t="shared" si="1"/>
        <v>91.019341054972756</v>
      </c>
      <c r="K36" s="10">
        <f t="shared" si="2"/>
        <v>407.18118437751889</v>
      </c>
      <c r="L36" s="10">
        <f t="shared" si="0"/>
        <v>498.20052543249165</v>
      </c>
      <c r="M36" s="10">
        <f t="shared" si="3"/>
        <v>11728.730956285515</v>
      </c>
    </row>
    <row r="37" spans="8:13" x14ac:dyDescent="0.45">
      <c r="H37" s="9">
        <v>35</v>
      </c>
      <c r="I37" s="10">
        <f t="shared" si="4"/>
        <v>11728.730956285515</v>
      </c>
      <c r="J37" s="10">
        <f t="shared" si="1"/>
        <v>87.965482172141364</v>
      </c>
      <c r="K37" s="10">
        <f t="shared" si="2"/>
        <v>410.23504326035027</v>
      </c>
      <c r="L37" s="10">
        <f t="shared" si="0"/>
        <v>498.20052543249165</v>
      </c>
      <c r="M37" s="10">
        <f t="shared" si="3"/>
        <v>11318.495913025165</v>
      </c>
    </row>
    <row r="38" spans="8:13" x14ac:dyDescent="0.45">
      <c r="H38" s="9">
        <v>36</v>
      </c>
      <c r="I38" s="10">
        <f t="shared" si="4"/>
        <v>11318.495913025165</v>
      </c>
      <c r="J38" s="10">
        <f t="shared" si="1"/>
        <v>84.888719347688735</v>
      </c>
      <c r="K38" s="10">
        <f t="shared" si="2"/>
        <v>413.31180608480292</v>
      </c>
      <c r="L38" s="10">
        <f t="shared" si="0"/>
        <v>498.20052543249165</v>
      </c>
      <c r="M38" s="10">
        <f t="shared" si="3"/>
        <v>10905.184106940362</v>
      </c>
    </row>
    <row r="39" spans="8:13" x14ac:dyDescent="0.45">
      <c r="H39" s="9">
        <v>37</v>
      </c>
      <c r="I39" s="10">
        <f t="shared" si="4"/>
        <v>10905.184106940362</v>
      </c>
      <c r="J39" s="10">
        <f t="shared" si="1"/>
        <v>81.788880802052716</v>
      </c>
      <c r="K39" s="10">
        <f t="shared" si="2"/>
        <v>416.4116446304389</v>
      </c>
      <c r="L39" s="10">
        <f t="shared" si="0"/>
        <v>498.20052543249165</v>
      </c>
      <c r="M39" s="10">
        <f t="shared" si="3"/>
        <v>10488.772462309922</v>
      </c>
    </row>
    <row r="40" spans="8:13" x14ac:dyDescent="0.45">
      <c r="H40" s="9">
        <v>38</v>
      </c>
      <c r="I40" s="10">
        <f t="shared" si="4"/>
        <v>10488.772462309922</v>
      </c>
      <c r="J40" s="10">
        <f t="shared" si="1"/>
        <v>78.665793467324406</v>
      </c>
      <c r="K40" s="10">
        <f t="shared" si="2"/>
        <v>419.53473196516723</v>
      </c>
      <c r="L40" s="10">
        <f t="shared" si="0"/>
        <v>498.20052543249165</v>
      </c>
      <c r="M40" s="10">
        <f t="shared" si="3"/>
        <v>10069.237730344756</v>
      </c>
    </row>
    <row r="41" spans="8:13" x14ac:dyDescent="0.45">
      <c r="H41" s="9">
        <v>39</v>
      </c>
      <c r="I41" s="10">
        <f t="shared" si="4"/>
        <v>10069.237730344756</v>
      </c>
      <c r="J41" s="10">
        <f t="shared" si="1"/>
        <v>75.519282977585661</v>
      </c>
      <c r="K41" s="10">
        <f t="shared" si="2"/>
        <v>422.681242454906</v>
      </c>
      <c r="L41" s="10">
        <f t="shared" si="0"/>
        <v>498.20052543249165</v>
      </c>
      <c r="M41" s="10">
        <f t="shared" si="3"/>
        <v>9646.5564878898494</v>
      </c>
    </row>
    <row r="42" spans="8:13" x14ac:dyDescent="0.45">
      <c r="H42" s="9">
        <v>40</v>
      </c>
      <c r="I42" s="10">
        <f t="shared" si="4"/>
        <v>9646.5564878898494</v>
      </c>
      <c r="J42" s="10">
        <f t="shared" si="1"/>
        <v>72.349173659173871</v>
      </c>
      <c r="K42" s="10">
        <f t="shared" si="2"/>
        <v>425.85135177331779</v>
      </c>
      <c r="L42" s="10">
        <f t="shared" si="0"/>
        <v>498.20052543249165</v>
      </c>
      <c r="M42" s="10">
        <f t="shared" si="3"/>
        <v>9220.7051361165322</v>
      </c>
    </row>
    <row r="43" spans="8:13" x14ac:dyDescent="0.45">
      <c r="H43" s="9">
        <v>41</v>
      </c>
      <c r="I43" s="10">
        <f t="shared" si="4"/>
        <v>9220.7051361165322</v>
      </c>
      <c r="J43" s="10">
        <f t="shared" si="1"/>
        <v>69.155288520873995</v>
      </c>
      <c r="K43" s="10">
        <f t="shared" si="2"/>
        <v>429.04523691161762</v>
      </c>
      <c r="L43" s="10">
        <f t="shared" si="0"/>
        <v>498.20052543249165</v>
      </c>
      <c r="M43" s="10">
        <f t="shared" si="3"/>
        <v>8791.6598992049148</v>
      </c>
    </row>
    <row r="44" spans="8:13" x14ac:dyDescent="0.45">
      <c r="H44" s="9">
        <v>42</v>
      </c>
      <c r="I44" s="10">
        <f t="shared" si="4"/>
        <v>8791.6598992049148</v>
      </c>
      <c r="J44" s="10">
        <f t="shared" si="1"/>
        <v>65.937449244036856</v>
      </c>
      <c r="K44" s="10">
        <f t="shared" si="2"/>
        <v>432.26307618845476</v>
      </c>
      <c r="L44" s="10">
        <f t="shared" si="0"/>
        <v>498.20052543249165</v>
      </c>
      <c r="M44" s="10">
        <f t="shared" si="3"/>
        <v>8359.396823016461</v>
      </c>
    </row>
    <row r="45" spans="8:13" x14ac:dyDescent="0.45">
      <c r="H45" s="9">
        <v>43</v>
      </c>
      <c r="I45" s="10">
        <f t="shared" si="4"/>
        <v>8359.396823016461</v>
      </c>
      <c r="J45" s="10">
        <f t="shared" si="1"/>
        <v>62.695476172623458</v>
      </c>
      <c r="K45" s="10">
        <f t="shared" si="2"/>
        <v>435.5050492598682</v>
      </c>
      <c r="L45" s="10">
        <f t="shared" si="0"/>
        <v>498.20052543249165</v>
      </c>
      <c r="M45" s="10">
        <f t="shared" si="3"/>
        <v>7923.8917737565926</v>
      </c>
    </row>
    <row r="46" spans="8:13" x14ac:dyDescent="0.45">
      <c r="H46" s="9">
        <v>44</v>
      </c>
      <c r="I46" s="10">
        <f t="shared" si="4"/>
        <v>7923.8917737565926</v>
      </c>
      <c r="J46" s="10">
        <f t="shared" si="1"/>
        <v>59.429188303174442</v>
      </c>
      <c r="K46" s="10">
        <f t="shared" si="2"/>
        <v>438.7713371293172</v>
      </c>
      <c r="L46" s="10">
        <f t="shared" si="0"/>
        <v>498.20052543249165</v>
      </c>
      <c r="M46" s="10">
        <f t="shared" si="3"/>
        <v>7485.120436627275</v>
      </c>
    </row>
    <row r="47" spans="8:13" x14ac:dyDescent="0.45">
      <c r="H47" s="9">
        <v>45</v>
      </c>
      <c r="I47" s="10">
        <f t="shared" si="4"/>
        <v>7485.120436627275</v>
      </c>
      <c r="J47" s="10">
        <f t="shared" si="1"/>
        <v>56.138403274704558</v>
      </c>
      <c r="K47" s="10">
        <f t="shared" si="2"/>
        <v>442.06212215778709</v>
      </c>
      <c r="L47" s="10">
        <f t="shared" si="0"/>
        <v>498.20052543249165</v>
      </c>
      <c r="M47" s="10">
        <f t="shared" si="3"/>
        <v>7043.0583144694883</v>
      </c>
    </row>
    <row r="48" spans="8:13" x14ac:dyDescent="0.45">
      <c r="H48" s="9">
        <v>46</v>
      </c>
      <c r="I48" s="10">
        <f t="shared" si="4"/>
        <v>7043.0583144694883</v>
      </c>
      <c r="J48" s="10">
        <f t="shared" si="1"/>
        <v>52.822937358521159</v>
      </c>
      <c r="K48" s="10">
        <f t="shared" si="2"/>
        <v>445.37758807397051</v>
      </c>
      <c r="L48" s="10">
        <f t="shared" si="0"/>
        <v>498.20052543249165</v>
      </c>
      <c r="M48" s="10">
        <f t="shared" si="3"/>
        <v>6597.6807263955179</v>
      </c>
    </row>
    <row r="49" spans="8:13" x14ac:dyDescent="0.45">
      <c r="H49" s="9">
        <v>47</v>
      </c>
      <c r="I49" s="10">
        <f t="shared" si="4"/>
        <v>6597.6807263955179</v>
      </c>
      <c r="J49" s="10">
        <f t="shared" si="1"/>
        <v>49.482605447966385</v>
      </c>
      <c r="K49" s="10">
        <f t="shared" si="2"/>
        <v>448.71791998452528</v>
      </c>
      <c r="L49" s="10">
        <f t="shared" si="0"/>
        <v>498.20052543249165</v>
      </c>
      <c r="M49" s="10">
        <f t="shared" si="3"/>
        <v>6148.9628064109929</v>
      </c>
    </row>
    <row r="50" spans="8:13" x14ac:dyDescent="0.45">
      <c r="H50" s="9">
        <v>48</v>
      </c>
      <c r="I50" s="10">
        <f t="shared" si="4"/>
        <v>6148.9628064109929</v>
      </c>
      <c r="J50" s="10">
        <f t="shared" si="1"/>
        <v>46.117221048082442</v>
      </c>
      <c r="K50" s="10">
        <f t="shared" si="2"/>
        <v>452.08330438440919</v>
      </c>
      <c r="L50" s="10">
        <f t="shared" si="0"/>
        <v>498.20052543249165</v>
      </c>
      <c r="M50" s="10">
        <f t="shared" si="3"/>
        <v>5696.8795020265834</v>
      </c>
    </row>
    <row r="51" spans="8:13" x14ac:dyDescent="0.45">
      <c r="H51" s="9">
        <v>49</v>
      </c>
      <c r="I51" s="10">
        <f t="shared" si="4"/>
        <v>5696.8795020265834</v>
      </c>
      <c r="J51" s="10">
        <f t="shared" si="1"/>
        <v>42.726596265199376</v>
      </c>
      <c r="K51" s="10">
        <f t="shared" si="2"/>
        <v>455.47392916729228</v>
      </c>
      <c r="L51" s="10">
        <f t="shared" si="0"/>
        <v>498.20052543249165</v>
      </c>
      <c r="M51" s="10">
        <f t="shared" si="3"/>
        <v>5241.4055728592912</v>
      </c>
    </row>
    <row r="52" spans="8:13" x14ac:dyDescent="0.45">
      <c r="H52" s="9">
        <v>50</v>
      </c>
      <c r="I52" s="10">
        <f t="shared" si="4"/>
        <v>5241.4055728592912</v>
      </c>
      <c r="J52" s="10">
        <f t="shared" si="1"/>
        <v>39.310541796444681</v>
      </c>
      <c r="K52" s="10">
        <f t="shared" si="2"/>
        <v>458.88998363604696</v>
      </c>
      <c r="L52" s="10">
        <f t="shared" si="0"/>
        <v>498.20052543249165</v>
      </c>
      <c r="M52" s="10">
        <f t="shared" si="3"/>
        <v>4782.5155892232442</v>
      </c>
    </row>
    <row r="53" spans="8:13" x14ac:dyDescent="0.45">
      <c r="H53" s="9">
        <v>51</v>
      </c>
      <c r="I53" s="10">
        <f t="shared" si="4"/>
        <v>4782.5155892232442</v>
      </c>
      <c r="J53" s="10">
        <f t="shared" si="1"/>
        <v>35.86886691917433</v>
      </c>
      <c r="K53" s="10">
        <f t="shared" si="2"/>
        <v>462.33165851331734</v>
      </c>
      <c r="L53" s="10">
        <f t="shared" si="0"/>
        <v>498.20052543249165</v>
      </c>
      <c r="M53" s="10">
        <f t="shared" si="3"/>
        <v>4320.1839307099272</v>
      </c>
    </row>
    <row r="54" spans="8:13" x14ac:dyDescent="0.45">
      <c r="H54" s="9">
        <v>52</v>
      </c>
      <c r="I54" s="10">
        <f t="shared" si="4"/>
        <v>4320.1839307099272</v>
      </c>
      <c r="J54" s="10">
        <f t="shared" si="1"/>
        <v>32.401379480324451</v>
      </c>
      <c r="K54" s="10">
        <f t="shared" si="2"/>
        <v>465.79914595216718</v>
      </c>
      <c r="L54" s="10">
        <f t="shared" si="0"/>
        <v>498.20052543249165</v>
      </c>
      <c r="M54" s="10">
        <f t="shared" si="3"/>
        <v>3854.3847847577599</v>
      </c>
    </row>
    <row r="55" spans="8:13" x14ac:dyDescent="0.45">
      <c r="H55" s="9">
        <v>53</v>
      </c>
      <c r="I55" s="10">
        <f t="shared" si="4"/>
        <v>3854.3847847577599</v>
      </c>
      <c r="J55" s="10">
        <f t="shared" si="1"/>
        <v>28.9078858856832</v>
      </c>
      <c r="K55" s="10">
        <f t="shared" si="2"/>
        <v>469.29263954680846</v>
      </c>
      <c r="L55" s="10">
        <f t="shared" si="0"/>
        <v>498.20052543249165</v>
      </c>
      <c r="M55" s="10">
        <f t="shared" si="3"/>
        <v>3385.0921452109515</v>
      </c>
    </row>
    <row r="56" spans="8:13" x14ac:dyDescent="0.45">
      <c r="H56" s="9">
        <v>54</v>
      </c>
      <c r="I56" s="10">
        <f t="shared" si="4"/>
        <v>3385.0921452109515</v>
      </c>
      <c r="J56" s="10">
        <f t="shared" si="1"/>
        <v>25.388191089082135</v>
      </c>
      <c r="K56" s="10">
        <f t="shared" si="2"/>
        <v>472.81233434340953</v>
      </c>
      <c r="L56" s="10">
        <f t="shared" si="0"/>
        <v>498.20052543249165</v>
      </c>
      <c r="M56" s="10">
        <f t="shared" si="3"/>
        <v>2912.279810867542</v>
      </c>
    </row>
    <row r="57" spans="8:13" x14ac:dyDescent="0.45">
      <c r="H57" s="9">
        <v>55</v>
      </c>
      <c r="I57" s="10">
        <f t="shared" si="4"/>
        <v>2912.279810867542</v>
      </c>
      <c r="J57" s="10">
        <f t="shared" si="1"/>
        <v>21.842098581506566</v>
      </c>
      <c r="K57" s="10">
        <f t="shared" si="2"/>
        <v>476.3584268509851</v>
      </c>
      <c r="L57" s="10">
        <f t="shared" si="0"/>
        <v>498.20052543249165</v>
      </c>
      <c r="M57" s="10">
        <f t="shared" si="3"/>
        <v>2435.9213840165567</v>
      </c>
    </row>
    <row r="58" spans="8:13" x14ac:dyDescent="0.45">
      <c r="H58" s="9">
        <v>56</v>
      </c>
      <c r="I58" s="10">
        <f t="shared" si="4"/>
        <v>2435.9213840165567</v>
      </c>
      <c r="J58" s="10">
        <f t="shared" si="1"/>
        <v>18.269410380124175</v>
      </c>
      <c r="K58" s="10">
        <f t="shared" si="2"/>
        <v>479.93111505236749</v>
      </c>
      <c r="L58" s="10">
        <f t="shared" si="0"/>
        <v>498.20052543249165</v>
      </c>
      <c r="M58" s="10">
        <f t="shared" si="3"/>
        <v>1955.9902689641892</v>
      </c>
    </row>
    <row r="59" spans="8:13" x14ac:dyDescent="0.45">
      <c r="H59" s="9">
        <v>57</v>
      </c>
      <c r="I59" s="10">
        <f t="shared" si="4"/>
        <v>1955.9902689641892</v>
      </c>
      <c r="J59" s="10">
        <f t="shared" si="1"/>
        <v>14.669927017231419</v>
      </c>
      <c r="K59" s="10">
        <f t="shared" si="2"/>
        <v>483.53059841526022</v>
      </c>
      <c r="L59" s="10">
        <f t="shared" si="0"/>
        <v>498.20052543249165</v>
      </c>
      <c r="M59" s="10">
        <f t="shared" si="3"/>
        <v>1472.4596705489289</v>
      </c>
    </row>
    <row r="60" spans="8:13" x14ac:dyDescent="0.45">
      <c r="H60" s="9">
        <v>58</v>
      </c>
      <c r="I60" s="10">
        <f t="shared" si="4"/>
        <v>1472.4596705489289</v>
      </c>
      <c r="J60" s="10">
        <f t="shared" si="1"/>
        <v>11.043447529116966</v>
      </c>
      <c r="K60" s="10">
        <f t="shared" si="2"/>
        <v>487.15707790337467</v>
      </c>
      <c r="L60" s="10">
        <f t="shared" si="0"/>
        <v>498.20052543249165</v>
      </c>
      <c r="M60" s="10">
        <f t="shared" si="3"/>
        <v>985.30259264555423</v>
      </c>
    </row>
    <row r="61" spans="8:13" x14ac:dyDescent="0.45">
      <c r="H61" s="9">
        <v>59</v>
      </c>
      <c r="I61" s="10">
        <f t="shared" si="4"/>
        <v>985.30259264555423</v>
      </c>
      <c r="J61" s="10">
        <f t="shared" si="1"/>
        <v>7.3897694448416562</v>
      </c>
      <c r="K61" s="10">
        <f t="shared" si="2"/>
        <v>490.81075598765</v>
      </c>
      <c r="L61" s="10">
        <f t="shared" si="0"/>
        <v>498.20052543249165</v>
      </c>
      <c r="M61" s="10">
        <f t="shared" si="3"/>
        <v>494.49183665790423</v>
      </c>
    </row>
    <row r="62" spans="8:13" x14ac:dyDescent="0.45">
      <c r="H62" s="9">
        <v>60</v>
      </c>
      <c r="I62" s="10">
        <f t="shared" si="4"/>
        <v>494.49183665790423</v>
      </c>
      <c r="J62" s="10">
        <f t="shared" si="1"/>
        <v>3.7086887749342816</v>
      </c>
      <c r="K62" s="10">
        <f t="shared" si="2"/>
        <v>494.49183665755737</v>
      </c>
      <c r="L62" s="10">
        <f t="shared" si="0"/>
        <v>498.20052543249165</v>
      </c>
      <c r="M62" s="10">
        <f t="shared" si="3"/>
        <v>3.4685854188865051E-10</v>
      </c>
    </row>
    <row r="63" spans="8:13" x14ac:dyDescent="0.45">
      <c r="J63" s="3">
        <f>SUM(J3:J62)</f>
        <v>5892.0315259498448</v>
      </c>
      <c r="K63" s="3">
        <f>SUM(K3:K62)</f>
        <v>23999.999999999662</v>
      </c>
      <c r="L63" s="3">
        <f>SUM(L3:L62)</f>
        <v>29892.031525949471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1716DF-B721-449E-B62C-D63FBCD9B164}">
  <dimension ref="A2:N124"/>
  <sheetViews>
    <sheetView zoomScale="115" zoomScaleNormal="115" workbookViewId="0">
      <selection activeCell="F2" sqref="F2"/>
    </sheetView>
  </sheetViews>
  <sheetFormatPr defaultRowHeight="14.25" x14ac:dyDescent="0.45"/>
  <cols>
    <col min="3" max="3" width="11.86328125" bestFit="1" customWidth="1"/>
    <col min="6" max="6" width="11.86328125" bestFit="1" customWidth="1"/>
    <col min="7" max="7" width="11.86328125" customWidth="1"/>
    <col min="9" max="9" width="11" customWidth="1"/>
    <col min="10" max="11" width="12.59765625" customWidth="1"/>
    <col min="12" max="13" width="10.86328125" bestFit="1" customWidth="1"/>
  </cols>
  <sheetData>
    <row r="2" spans="1:14" ht="42.75" x14ac:dyDescent="0.45">
      <c r="A2" t="s">
        <v>0</v>
      </c>
      <c r="C2" s="1">
        <v>30000</v>
      </c>
      <c r="E2" t="s">
        <v>5</v>
      </c>
      <c r="F2" s="3">
        <f>C2</f>
        <v>30000</v>
      </c>
      <c r="G2" s="3"/>
      <c r="H2" s="7" t="s">
        <v>9</v>
      </c>
      <c r="I2" s="7" t="s">
        <v>7</v>
      </c>
      <c r="J2" s="8" t="s">
        <v>10</v>
      </c>
      <c r="K2" s="8" t="s">
        <v>11</v>
      </c>
      <c r="L2" s="7" t="s">
        <v>8</v>
      </c>
      <c r="M2" s="8" t="s">
        <v>12</v>
      </c>
      <c r="N2" s="6"/>
    </row>
    <row r="3" spans="1:14" x14ac:dyDescent="0.45">
      <c r="A3" t="s">
        <v>1</v>
      </c>
      <c r="C3" s="2">
        <v>0.11</v>
      </c>
      <c r="E3" t="s">
        <v>4</v>
      </c>
      <c r="F3" s="4">
        <f>C3/12</f>
        <v>9.1666666666666667E-3</v>
      </c>
      <c r="G3" s="4"/>
      <c r="H3" s="9">
        <v>1</v>
      </c>
      <c r="I3" s="10">
        <f>C2</f>
        <v>30000</v>
      </c>
      <c r="J3" s="10">
        <f>I3*F3</f>
        <v>275</v>
      </c>
      <c r="K3" s="10">
        <f>L3-J3</f>
        <v>138.25003387576521</v>
      </c>
      <c r="L3" s="10">
        <f>$F$6</f>
        <v>413.25003387576521</v>
      </c>
      <c r="M3" s="10">
        <f>I3-K3</f>
        <v>29861.749966124236</v>
      </c>
    </row>
    <row r="4" spans="1:14" x14ac:dyDescent="0.45">
      <c r="A4" t="s">
        <v>2</v>
      </c>
      <c r="C4">
        <v>10</v>
      </c>
      <c r="E4" t="s">
        <v>3</v>
      </c>
      <c r="F4">
        <f>C4*12</f>
        <v>120</v>
      </c>
      <c r="H4" s="9">
        <v>2</v>
      </c>
      <c r="I4" s="10">
        <f>M3</f>
        <v>29861.749966124236</v>
      </c>
      <c r="J4" s="10">
        <f>I4*$F$3</f>
        <v>273.73270802280553</v>
      </c>
      <c r="K4" s="10">
        <f>L4-J4</f>
        <v>139.51732585295969</v>
      </c>
      <c r="L4" s="10">
        <f t="shared" ref="L4:L67" si="0">$F$6</f>
        <v>413.25003387576521</v>
      </c>
      <c r="M4" s="10">
        <f>I4-K4</f>
        <v>29722.232640271275</v>
      </c>
    </row>
    <row r="5" spans="1:14" x14ac:dyDescent="0.45">
      <c r="H5" s="9">
        <v>3</v>
      </c>
      <c r="I5" s="10">
        <f>M4</f>
        <v>29722.232640271275</v>
      </c>
      <c r="J5" s="10">
        <f t="shared" ref="J5:J68" si="1">I5*$F$3</f>
        <v>272.45379920248666</v>
      </c>
      <c r="K5" s="10">
        <f t="shared" ref="K5:K68" si="2">L5-J5</f>
        <v>140.79623467327855</v>
      </c>
      <c r="L5" s="10">
        <f t="shared" si="0"/>
        <v>413.25003387576521</v>
      </c>
      <c r="M5" s="10">
        <f t="shared" ref="M5:M68" si="3">I5-K5</f>
        <v>29581.436405597997</v>
      </c>
    </row>
    <row r="6" spans="1:14" ht="28.5" x14ac:dyDescent="0.45">
      <c r="C6" s="3"/>
      <c r="E6" s="5" t="s">
        <v>6</v>
      </c>
      <c r="F6" s="3">
        <f xml:space="preserve"> F2*F3*(1+F3)^F4/((1+F3)^F4-1)</f>
        <v>413.25003387576521</v>
      </c>
      <c r="G6" s="3"/>
      <c r="H6" s="9">
        <v>4</v>
      </c>
      <c r="I6" s="10">
        <f t="shared" ref="I6:I69" si="4">M5</f>
        <v>29581.436405597997</v>
      </c>
      <c r="J6" s="10">
        <f t="shared" si="1"/>
        <v>271.16316705131499</v>
      </c>
      <c r="K6" s="10">
        <f t="shared" si="2"/>
        <v>142.08686682445023</v>
      </c>
      <c r="L6" s="10">
        <f t="shared" si="0"/>
        <v>413.25003387576521</v>
      </c>
      <c r="M6" s="10">
        <f t="shared" si="3"/>
        <v>29439.349538773546</v>
      </c>
    </row>
    <row r="7" spans="1:14" x14ac:dyDescent="0.45">
      <c r="H7" s="9">
        <v>5</v>
      </c>
      <c r="I7" s="10">
        <f t="shared" si="4"/>
        <v>29439.349538773546</v>
      </c>
      <c r="J7" s="10">
        <f t="shared" si="1"/>
        <v>269.86070410542419</v>
      </c>
      <c r="K7" s="10">
        <f t="shared" si="2"/>
        <v>143.38932977034102</v>
      </c>
      <c r="L7" s="10">
        <f t="shared" si="0"/>
        <v>413.25003387576521</v>
      </c>
      <c r="M7" s="10">
        <f t="shared" si="3"/>
        <v>29295.960209003206</v>
      </c>
    </row>
    <row r="8" spans="1:14" x14ac:dyDescent="0.45">
      <c r="H8" s="9">
        <v>6</v>
      </c>
      <c r="I8" s="10">
        <f t="shared" si="4"/>
        <v>29295.960209003206</v>
      </c>
      <c r="J8" s="10">
        <f t="shared" si="1"/>
        <v>268.54630191586273</v>
      </c>
      <c r="K8" s="10">
        <f t="shared" si="2"/>
        <v>144.70373195990248</v>
      </c>
      <c r="L8" s="10">
        <f t="shared" si="0"/>
        <v>413.25003387576521</v>
      </c>
      <c r="M8" s="10">
        <f t="shared" si="3"/>
        <v>29151.256477043302</v>
      </c>
    </row>
    <row r="9" spans="1:14" x14ac:dyDescent="0.45">
      <c r="H9" s="9">
        <v>7</v>
      </c>
      <c r="I9" s="10">
        <f t="shared" si="4"/>
        <v>29151.256477043302</v>
      </c>
      <c r="J9" s="10">
        <f t="shared" si="1"/>
        <v>267.21985103956359</v>
      </c>
      <c r="K9" s="10">
        <f t="shared" si="2"/>
        <v>146.03018283620162</v>
      </c>
      <c r="L9" s="10">
        <f t="shared" si="0"/>
        <v>413.25003387576521</v>
      </c>
      <c r="M9" s="10">
        <f t="shared" si="3"/>
        <v>29005.226294207099</v>
      </c>
    </row>
    <row r="10" spans="1:14" x14ac:dyDescent="0.45">
      <c r="H10" s="9">
        <v>8</v>
      </c>
      <c r="I10" s="10">
        <f t="shared" si="4"/>
        <v>29005.226294207099</v>
      </c>
      <c r="J10" s="10">
        <f t="shared" si="1"/>
        <v>265.88124103023176</v>
      </c>
      <c r="K10" s="10">
        <f t="shared" si="2"/>
        <v>147.36879284553345</v>
      </c>
      <c r="L10" s="10">
        <f t="shared" si="0"/>
        <v>413.25003387576521</v>
      </c>
      <c r="M10" s="10">
        <f t="shared" si="3"/>
        <v>28857.857501361566</v>
      </c>
    </row>
    <row r="11" spans="1:14" x14ac:dyDescent="0.45">
      <c r="H11" s="9">
        <v>9</v>
      </c>
      <c r="I11" s="10">
        <f t="shared" si="4"/>
        <v>28857.857501361566</v>
      </c>
      <c r="J11" s="10">
        <f t="shared" si="1"/>
        <v>264.53036042914772</v>
      </c>
      <c r="K11" s="10">
        <f t="shared" si="2"/>
        <v>148.71967344661749</v>
      </c>
      <c r="L11" s="10">
        <f t="shared" si="0"/>
        <v>413.25003387576521</v>
      </c>
      <c r="M11" s="10">
        <f t="shared" si="3"/>
        <v>28709.13782791495</v>
      </c>
    </row>
    <row r="12" spans="1:14" x14ac:dyDescent="0.45">
      <c r="H12" s="9">
        <v>10</v>
      </c>
      <c r="I12" s="10">
        <f t="shared" si="4"/>
        <v>28709.13782791495</v>
      </c>
      <c r="J12" s="10">
        <f t="shared" si="1"/>
        <v>263.16709675588703</v>
      </c>
      <c r="K12" s="10">
        <f t="shared" si="2"/>
        <v>150.08293711987818</v>
      </c>
      <c r="L12" s="10">
        <f t="shared" si="0"/>
        <v>413.25003387576521</v>
      </c>
      <c r="M12" s="10">
        <f t="shared" si="3"/>
        <v>28559.054890795072</v>
      </c>
    </row>
    <row r="13" spans="1:14" x14ac:dyDescent="0.45">
      <c r="H13" s="9">
        <v>11</v>
      </c>
      <c r="I13" s="10">
        <f t="shared" si="4"/>
        <v>28559.054890795072</v>
      </c>
      <c r="J13" s="10">
        <f t="shared" si="1"/>
        <v>261.79133649895482</v>
      </c>
      <c r="K13" s="10">
        <f t="shared" si="2"/>
        <v>151.45869737681039</v>
      </c>
      <c r="L13" s="10">
        <f t="shared" si="0"/>
        <v>413.25003387576521</v>
      </c>
      <c r="M13" s="10">
        <f t="shared" si="3"/>
        <v>28407.596193418263</v>
      </c>
    </row>
    <row r="14" spans="1:14" x14ac:dyDescent="0.45">
      <c r="H14" s="9">
        <v>12</v>
      </c>
      <c r="I14" s="10">
        <f t="shared" si="4"/>
        <v>28407.596193418263</v>
      </c>
      <c r="J14" s="10">
        <f t="shared" si="1"/>
        <v>260.40296510633408</v>
      </c>
      <c r="K14" s="10">
        <f t="shared" si="2"/>
        <v>152.84706876943113</v>
      </c>
      <c r="L14" s="10">
        <f t="shared" si="0"/>
        <v>413.25003387576521</v>
      </c>
      <c r="M14" s="10">
        <f t="shared" si="3"/>
        <v>28254.749124648832</v>
      </c>
    </row>
    <row r="15" spans="1:14" x14ac:dyDescent="0.45">
      <c r="H15" s="9">
        <v>13</v>
      </c>
      <c r="I15" s="10">
        <f t="shared" si="4"/>
        <v>28254.749124648832</v>
      </c>
      <c r="J15" s="10">
        <f t="shared" si="1"/>
        <v>259.00186697594762</v>
      </c>
      <c r="K15" s="10">
        <f t="shared" si="2"/>
        <v>154.24816689981759</v>
      </c>
      <c r="L15" s="10">
        <f t="shared" si="0"/>
        <v>413.25003387576521</v>
      </c>
      <c r="M15" s="10">
        <f t="shared" si="3"/>
        <v>28100.500957749013</v>
      </c>
    </row>
    <row r="16" spans="1:14" x14ac:dyDescent="0.45">
      <c r="H16" s="9">
        <v>14</v>
      </c>
      <c r="I16" s="10">
        <f t="shared" si="4"/>
        <v>28100.500957749013</v>
      </c>
      <c r="J16" s="10">
        <f t="shared" si="1"/>
        <v>257.58792544603261</v>
      </c>
      <c r="K16" s="10">
        <f t="shared" si="2"/>
        <v>155.6621084297326</v>
      </c>
      <c r="L16" s="10">
        <f t="shared" si="0"/>
        <v>413.25003387576521</v>
      </c>
      <c r="M16" s="10">
        <f t="shared" si="3"/>
        <v>27944.83884931928</v>
      </c>
    </row>
    <row r="17" spans="8:13" x14ac:dyDescent="0.45">
      <c r="H17" s="9">
        <v>15</v>
      </c>
      <c r="I17" s="10">
        <f t="shared" si="4"/>
        <v>27944.83884931928</v>
      </c>
      <c r="J17" s="10">
        <f t="shared" si="1"/>
        <v>256.16102278542672</v>
      </c>
      <c r="K17" s="10">
        <f t="shared" si="2"/>
        <v>157.08901109033849</v>
      </c>
      <c r="L17" s="10">
        <f t="shared" si="0"/>
        <v>413.25003387576521</v>
      </c>
      <c r="M17" s="10">
        <f t="shared" si="3"/>
        <v>27787.749838228941</v>
      </c>
    </row>
    <row r="18" spans="8:13" x14ac:dyDescent="0.45">
      <c r="H18" s="9">
        <v>16</v>
      </c>
      <c r="I18" s="10">
        <f t="shared" si="4"/>
        <v>27787.749838228941</v>
      </c>
      <c r="J18" s="10">
        <f t="shared" si="1"/>
        <v>254.7210401837653</v>
      </c>
      <c r="K18" s="10">
        <f t="shared" si="2"/>
        <v>158.52899369199991</v>
      </c>
      <c r="L18" s="10">
        <f t="shared" si="0"/>
        <v>413.25003387576521</v>
      </c>
      <c r="M18" s="10">
        <f t="shared" si="3"/>
        <v>27629.22084453694</v>
      </c>
    </row>
    <row r="19" spans="8:13" x14ac:dyDescent="0.45">
      <c r="H19" s="9">
        <v>17</v>
      </c>
      <c r="I19" s="10">
        <f t="shared" si="4"/>
        <v>27629.22084453694</v>
      </c>
      <c r="J19" s="10">
        <f t="shared" si="1"/>
        <v>253.26785774158861</v>
      </c>
      <c r="K19" s="10">
        <f t="shared" si="2"/>
        <v>159.9821761341766</v>
      </c>
      <c r="L19" s="10">
        <f t="shared" si="0"/>
        <v>413.25003387576521</v>
      </c>
      <c r="M19" s="10">
        <f t="shared" si="3"/>
        <v>27469.238668402762</v>
      </c>
    </row>
    <row r="20" spans="8:13" x14ac:dyDescent="0.45">
      <c r="H20" s="9">
        <v>18</v>
      </c>
      <c r="I20" s="10">
        <f t="shared" si="4"/>
        <v>27469.238668402762</v>
      </c>
      <c r="J20" s="10">
        <f t="shared" si="1"/>
        <v>251.80135446035865</v>
      </c>
      <c r="K20" s="10">
        <f t="shared" si="2"/>
        <v>161.44867941540656</v>
      </c>
      <c r="L20" s="10">
        <f t="shared" si="0"/>
        <v>413.25003387576521</v>
      </c>
      <c r="M20" s="10">
        <f t="shared" si="3"/>
        <v>27307.789988987355</v>
      </c>
    </row>
    <row r="21" spans="8:13" x14ac:dyDescent="0.45">
      <c r="H21" s="9">
        <v>19</v>
      </c>
      <c r="I21" s="10">
        <f t="shared" si="4"/>
        <v>27307.789988987355</v>
      </c>
      <c r="J21" s="10">
        <f t="shared" si="1"/>
        <v>250.3214082323841</v>
      </c>
      <c r="K21" s="10">
        <f t="shared" si="2"/>
        <v>162.92862564338111</v>
      </c>
      <c r="L21" s="10">
        <f t="shared" si="0"/>
        <v>413.25003387576521</v>
      </c>
      <c r="M21" s="10">
        <f t="shared" si="3"/>
        <v>27144.861363343975</v>
      </c>
    </row>
    <row r="22" spans="8:13" x14ac:dyDescent="0.45">
      <c r="H22" s="9">
        <v>20</v>
      </c>
      <c r="I22" s="10">
        <f t="shared" si="4"/>
        <v>27144.861363343975</v>
      </c>
      <c r="J22" s="10">
        <f t="shared" si="1"/>
        <v>248.82789583065309</v>
      </c>
      <c r="K22" s="10">
        <f t="shared" si="2"/>
        <v>164.42213804511212</v>
      </c>
      <c r="L22" s="10">
        <f t="shared" si="0"/>
        <v>413.25003387576521</v>
      </c>
      <c r="M22" s="10">
        <f t="shared" si="3"/>
        <v>26980.439225298862</v>
      </c>
    </row>
    <row r="23" spans="8:13" x14ac:dyDescent="0.45">
      <c r="H23" s="9">
        <v>21</v>
      </c>
      <c r="I23" s="10">
        <f t="shared" si="4"/>
        <v>26980.439225298862</v>
      </c>
      <c r="J23" s="10">
        <f t="shared" si="1"/>
        <v>247.3206928985729</v>
      </c>
      <c r="K23" s="10">
        <f t="shared" si="2"/>
        <v>165.92934097719231</v>
      </c>
      <c r="L23" s="10">
        <f t="shared" si="0"/>
        <v>413.25003387576521</v>
      </c>
      <c r="M23" s="10">
        <f t="shared" si="3"/>
        <v>26814.509884321669</v>
      </c>
    </row>
    <row r="24" spans="8:13" x14ac:dyDescent="0.45">
      <c r="H24" s="9">
        <v>22</v>
      </c>
      <c r="I24" s="10">
        <f t="shared" si="4"/>
        <v>26814.509884321669</v>
      </c>
      <c r="J24" s="10">
        <f t="shared" si="1"/>
        <v>245.7996739396153</v>
      </c>
      <c r="K24" s="10">
        <f t="shared" si="2"/>
        <v>167.45035993614991</v>
      </c>
      <c r="L24" s="10">
        <f t="shared" si="0"/>
        <v>413.25003387576521</v>
      </c>
      <c r="M24" s="10">
        <f t="shared" si="3"/>
        <v>26647.05952438552</v>
      </c>
    </row>
    <row r="25" spans="8:13" x14ac:dyDescent="0.45">
      <c r="H25" s="9">
        <v>23</v>
      </c>
      <c r="I25" s="10">
        <f t="shared" si="4"/>
        <v>26647.05952438552</v>
      </c>
      <c r="J25" s="10">
        <f t="shared" si="1"/>
        <v>244.26471230686727</v>
      </c>
      <c r="K25" s="10">
        <f t="shared" si="2"/>
        <v>168.98532156889794</v>
      </c>
      <c r="L25" s="10">
        <f t="shared" si="0"/>
        <v>413.25003387576521</v>
      </c>
      <c r="M25" s="10">
        <f t="shared" si="3"/>
        <v>26478.074202816624</v>
      </c>
    </row>
    <row r="26" spans="8:13" x14ac:dyDescent="0.45">
      <c r="H26" s="9">
        <v>24</v>
      </c>
      <c r="I26" s="10">
        <f t="shared" si="4"/>
        <v>26478.074202816624</v>
      </c>
      <c r="J26" s="10">
        <f t="shared" si="1"/>
        <v>242.71568019248573</v>
      </c>
      <c r="K26" s="10">
        <f t="shared" si="2"/>
        <v>170.53435368327948</v>
      </c>
      <c r="L26" s="10">
        <f t="shared" si="0"/>
        <v>413.25003387576521</v>
      </c>
      <c r="M26" s="10">
        <f t="shared" si="3"/>
        <v>26307.539849133344</v>
      </c>
    </row>
    <row r="27" spans="8:13" x14ac:dyDescent="0.45">
      <c r="H27" s="9">
        <v>25</v>
      </c>
      <c r="I27" s="10">
        <f t="shared" si="4"/>
        <v>26307.539849133344</v>
      </c>
      <c r="J27" s="10">
        <f t="shared" si="1"/>
        <v>241.15244861705565</v>
      </c>
      <c r="K27" s="10">
        <f t="shared" si="2"/>
        <v>172.09758525870956</v>
      </c>
      <c r="L27" s="10">
        <f t="shared" si="0"/>
        <v>413.25003387576521</v>
      </c>
      <c r="M27" s="10">
        <f t="shared" si="3"/>
        <v>26135.442263874633</v>
      </c>
    </row>
    <row r="28" spans="8:13" x14ac:dyDescent="0.45">
      <c r="H28" s="9">
        <v>26</v>
      </c>
      <c r="I28" s="10">
        <f t="shared" si="4"/>
        <v>26135.442263874633</v>
      </c>
      <c r="J28" s="10">
        <f t="shared" si="1"/>
        <v>239.57488741885081</v>
      </c>
      <c r="K28" s="10">
        <f t="shared" si="2"/>
        <v>173.6751464569144</v>
      </c>
      <c r="L28" s="10">
        <f t="shared" si="0"/>
        <v>413.25003387576521</v>
      </c>
      <c r="M28" s="10">
        <f t="shared" si="3"/>
        <v>25961.767117417719</v>
      </c>
    </row>
    <row r="29" spans="8:13" x14ac:dyDescent="0.45">
      <c r="H29" s="9">
        <v>27</v>
      </c>
      <c r="I29" s="10">
        <f t="shared" si="4"/>
        <v>25961.767117417719</v>
      </c>
      <c r="J29" s="10">
        <f t="shared" si="1"/>
        <v>237.98286524299576</v>
      </c>
      <c r="K29" s="10">
        <f t="shared" si="2"/>
        <v>175.26716863276945</v>
      </c>
      <c r="L29" s="10">
        <f t="shared" si="0"/>
        <v>413.25003387576521</v>
      </c>
      <c r="M29" s="10">
        <f t="shared" si="3"/>
        <v>25786.499948784949</v>
      </c>
    </row>
    <row r="30" spans="8:13" x14ac:dyDescent="0.45">
      <c r="H30" s="9">
        <v>28</v>
      </c>
      <c r="I30" s="10">
        <f t="shared" si="4"/>
        <v>25786.499948784949</v>
      </c>
      <c r="J30" s="10">
        <f t="shared" si="1"/>
        <v>236.3762495305287</v>
      </c>
      <c r="K30" s="10">
        <f t="shared" si="2"/>
        <v>176.87378434523652</v>
      </c>
      <c r="L30" s="10">
        <f t="shared" si="0"/>
        <v>413.25003387576521</v>
      </c>
      <c r="M30" s="10">
        <f t="shared" si="3"/>
        <v>25609.626164439713</v>
      </c>
    </row>
    <row r="31" spans="8:13" x14ac:dyDescent="0.45">
      <c r="H31" s="9">
        <v>29</v>
      </c>
      <c r="I31" s="10">
        <f t="shared" si="4"/>
        <v>25609.626164439713</v>
      </c>
      <c r="J31" s="10">
        <f t="shared" si="1"/>
        <v>234.75490650736404</v>
      </c>
      <c r="K31" s="10">
        <f t="shared" si="2"/>
        <v>178.49512736840117</v>
      </c>
      <c r="L31" s="10">
        <f t="shared" si="0"/>
        <v>413.25003387576521</v>
      </c>
      <c r="M31" s="10">
        <f t="shared" si="3"/>
        <v>25431.131037071311</v>
      </c>
    </row>
    <row r="32" spans="8:13" x14ac:dyDescent="0.45">
      <c r="H32" s="9">
        <v>30</v>
      </c>
      <c r="I32" s="10">
        <f t="shared" si="4"/>
        <v>25431.131037071311</v>
      </c>
      <c r="J32" s="10">
        <f t="shared" si="1"/>
        <v>233.11870117315368</v>
      </c>
      <c r="K32" s="10">
        <f t="shared" si="2"/>
        <v>180.13133270261153</v>
      </c>
      <c r="L32" s="10">
        <f t="shared" si="0"/>
        <v>413.25003387576521</v>
      </c>
      <c r="M32" s="10">
        <f t="shared" si="3"/>
        <v>25250.9997043687</v>
      </c>
    </row>
    <row r="33" spans="8:13" x14ac:dyDescent="0.45">
      <c r="H33" s="9">
        <v>31</v>
      </c>
      <c r="I33" s="10">
        <f t="shared" si="4"/>
        <v>25250.9997043687</v>
      </c>
      <c r="J33" s="10">
        <f t="shared" si="1"/>
        <v>231.46749729004642</v>
      </c>
      <c r="K33" s="10">
        <f t="shared" si="2"/>
        <v>181.78253658571879</v>
      </c>
      <c r="L33" s="10">
        <f t="shared" si="0"/>
        <v>413.25003387576521</v>
      </c>
      <c r="M33" s="10">
        <f t="shared" si="3"/>
        <v>25069.217167782983</v>
      </c>
    </row>
    <row r="34" spans="8:13" x14ac:dyDescent="0.45">
      <c r="H34" s="9">
        <v>32</v>
      </c>
      <c r="I34" s="10">
        <f t="shared" si="4"/>
        <v>25069.217167782983</v>
      </c>
      <c r="J34" s="10">
        <f t="shared" si="1"/>
        <v>229.801157371344</v>
      </c>
      <c r="K34" s="10">
        <f t="shared" si="2"/>
        <v>183.44887650442121</v>
      </c>
      <c r="L34" s="10">
        <f t="shared" si="0"/>
        <v>413.25003387576521</v>
      </c>
      <c r="M34" s="10">
        <f t="shared" si="3"/>
        <v>24885.76829127856</v>
      </c>
    </row>
    <row r="35" spans="8:13" x14ac:dyDescent="0.45">
      <c r="H35" s="9">
        <v>33</v>
      </c>
      <c r="I35" s="10">
        <f t="shared" si="4"/>
        <v>24885.76829127856</v>
      </c>
      <c r="J35" s="10">
        <f t="shared" si="1"/>
        <v>228.11954267005348</v>
      </c>
      <c r="K35" s="10">
        <f t="shared" si="2"/>
        <v>185.13049120571173</v>
      </c>
      <c r="L35" s="10">
        <f t="shared" si="0"/>
        <v>413.25003387576521</v>
      </c>
      <c r="M35" s="10">
        <f t="shared" si="3"/>
        <v>24700.637800072847</v>
      </c>
    </row>
    <row r="36" spans="8:13" x14ac:dyDescent="0.45">
      <c r="H36" s="9">
        <v>34</v>
      </c>
      <c r="I36" s="10">
        <f t="shared" si="4"/>
        <v>24700.637800072847</v>
      </c>
      <c r="J36" s="10">
        <f t="shared" si="1"/>
        <v>226.42251316733444</v>
      </c>
      <c r="K36" s="10">
        <f t="shared" si="2"/>
        <v>186.82752070843077</v>
      </c>
      <c r="L36" s="10">
        <f t="shared" si="0"/>
        <v>413.25003387576521</v>
      </c>
      <c r="M36" s="10">
        <f t="shared" si="3"/>
        <v>24513.810279364418</v>
      </c>
    </row>
    <row r="37" spans="8:13" x14ac:dyDescent="0.45">
      <c r="H37" s="9">
        <v>35</v>
      </c>
      <c r="I37" s="10">
        <f t="shared" si="4"/>
        <v>24513.810279364418</v>
      </c>
      <c r="J37" s="10">
        <f t="shared" si="1"/>
        <v>224.7099275608405</v>
      </c>
      <c r="K37" s="10">
        <f t="shared" si="2"/>
        <v>188.54010631492471</v>
      </c>
      <c r="L37" s="10">
        <f t="shared" si="0"/>
        <v>413.25003387576521</v>
      </c>
      <c r="M37" s="10">
        <f t="shared" si="3"/>
        <v>24325.270173049492</v>
      </c>
    </row>
    <row r="38" spans="8:13" x14ac:dyDescent="0.45">
      <c r="H38" s="9">
        <v>36</v>
      </c>
      <c r="I38" s="10">
        <f t="shared" si="4"/>
        <v>24325.270173049492</v>
      </c>
      <c r="J38" s="10">
        <f t="shared" si="1"/>
        <v>222.98164325295369</v>
      </c>
      <c r="K38" s="10">
        <f t="shared" si="2"/>
        <v>190.26839062281152</v>
      </c>
      <c r="L38" s="10">
        <f t="shared" si="0"/>
        <v>413.25003387576521</v>
      </c>
      <c r="M38" s="10">
        <f t="shared" si="3"/>
        <v>24135.00178242668</v>
      </c>
    </row>
    <row r="39" spans="8:13" x14ac:dyDescent="0.45">
      <c r="H39" s="9">
        <v>37</v>
      </c>
      <c r="I39" s="10">
        <f t="shared" si="4"/>
        <v>24135.00178242668</v>
      </c>
      <c r="J39" s="10">
        <f t="shared" si="1"/>
        <v>221.23751633891123</v>
      </c>
      <c r="K39" s="10">
        <f t="shared" si="2"/>
        <v>192.01251753685398</v>
      </c>
      <c r="L39" s="10">
        <f t="shared" si="0"/>
        <v>413.25003387576521</v>
      </c>
      <c r="M39" s="10">
        <f t="shared" si="3"/>
        <v>23942.989264889824</v>
      </c>
    </row>
    <row r="40" spans="8:13" x14ac:dyDescent="0.45">
      <c r="H40" s="9">
        <v>38</v>
      </c>
      <c r="I40" s="10">
        <f t="shared" si="4"/>
        <v>23942.989264889824</v>
      </c>
      <c r="J40" s="10">
        <f t="shared" si="1"/>
        <v>219.47740159482339</v>
      </c>
      <c r="K40" s="10">
        <f t="shared" si="2"/>
        <v>193.77263228094182</v>
      </c>
      <c r="L40" s="10">
        <f t="shared" si="0"/>
        <v>413.25003387576521</v>
      </c>
      <c r="M40" s="10">
        <f t="shared" si="3"/>
        <v>23749.216632608881</v>
      </c>
    </row>
    <row r="41" spans="8:13" x14ac:dyDescent="0.45">
      <c r="H41" s="9">
        <v>39</v>
      </c>
      <c r="I41" s="10">
        <f t="shared" si="4"/>
        <v>23749.216632608881</v>
      </c>
      <c r="J41" s="10">
        <f t="shared" si="1"/>
        <v>217.7011524655814</v>
      </c>
      <c r="K41" s="10">
        <f t="shared" si="2"/>
        <v>195.54888141018381</v>
      </c>
      <c r="L41" s="10">
        <f t="shared" si="0"/>
        <v>413.25003387576521</v>
      </c>
      <c r="M41" s="10">
        <f t="shared" si="3"/>
        <v>23553.667751198696</v>
      </c>
    </row>
    <row r="42" spans="8:13" x14ac:dyDescent="0.45">
      <c r="H42" s="9">
        <v>40</v>
      </c>
      <c r="I42" s="10">
        <f t="shared" si="4"/>
        <v>23553.667751198696</v>
      </c>
      <c r="J42" s="10">
        <f t="shared" si="1"/>
        <v>215.90862105265472</v>
      </c>
      <c r="K42" s="10">
        <f t="shared" si="2"/>
        <v>197.34141282311049</v>
      </c>
      <c r="L42" s="10">
        <f t="shared" si="0"/>
        <v>413.25003387576521</v>
      </c>
      <c r="M42" s="10">
        <f t="shared" si="3"/>
        <v>23356.326338375588</v>
      </c>
    </row>
    <row r="43" spans="8:13" x14ac:dyDescent="0.45">
      <c r="H43" s="9">
        <v>41</v>
      </c>
      <c r="I43" s="10">
        <f t="shared" si="4"/>
        <v>23356.326338375588</v>
      </c>
      <c r="J43" s="10">
        <f t="shared" si="1"/>
        <v>214.09965810177621</v>
      </c>
      <c r="K43" s="10">
        <f t="shared" si="2"/>
        <v>199.150375773989</v>
      </c>
      <c r="L43" s="10">
        <f t="shared" si="0"/>
        <v>413.25003387576521</v>
      </c>
      <c r="M43" s="10">
        <f t="shared" si="3"/>
        <v>23157.175962601599</v>
      </c>
    </row>
    <row r="44" spans="8:13" x14ac:dyDescent="0.45">
      <c r="H44" s="9">
        <v>42</v>
      </c>
      <c r="I44" s="10">
        <f t="shared" si="4"/>
        <v>23157.175962601599</v>
      </c>
      <c r="J44" s="10">
        <f t="shared" si="1"/>
        <v>212.27411299051465</v>
      </c>
      <c r="K44" s="10">
        <f t="shared" si="2"/>
        <v>200.97592088525056</v>
      </c>
      <c r="L44" s="10">
        <f t="shared" si="0"/>
        <v>413.25003387576521</v>
      </c>
      <c r="M44" s="10">
        <f t="shared" si="3"/>
        <v>22956.200041716347</v>
      </c>
    </row>
    <row r="45" spans="8:13" x14ac:dyDescent="0.45">
      <c r="H45" s="9">
        <v>43</v>
      </c>
      <c r="I45" s="10">
        <f t="shared" si="4"/>
        <v>22956.200041716347</v>
      </c>
      <c r="J45" s="10">
        <f t="shared" si="1"/>
        <v>210.43183371573318</v>
      </c>
      <c r="K45" s="10">
        <f t="shared" si="2"/>
        <v>202.81820016003203</v>
      </c>
      <c r="L45" s="10">
        <f t="shared" si="0"/>
        <v>413.25003387576521</v>
      </c>
      <c r="M45" s="10">
        <f t="shared" si="3"/>
        <v>22753.381841556315</v>
      </c>
    </row>
    <row r="46" spans="8:13" x14ac:dyDescent="0.45">
      <c r="H46" s="9">
        <v>44</v>
      </c>
      <c r="I46" s="10">
        <f t="shared" si="4"/>
        <v>22753.381841556315</v>
      </c>
      <c r="J46" s="10">
        <f t="shared" si="1"/>
        <v>208.57266688093287</v>
      </c>
      <c r="K46" s="10">
        <f t="shared" si="2"/>
        <v>204.67736699483234</v>
      </c>
      <c r="L46" s="10">
        <f t="shared" si="0"/>
        <v>413.25003387576521</v>
      </c>
      <c r="M46" s="10">
        <f t="shared" si="3"/>
        <v>22548.704474561484</v>
      </c>
    </row>
    <row r="47" spans="8:13" x14ac:dyDescent="0.45">
      <c r="H47" s="9">
        <v>45</v>
      </c>
      <c r="I47" s="10">
        <f t="shared" si="4"/>
        <v>22548.704474561484</v>
      </c>
      <c r="J47" s="10">
        <f t="shared" si="1"/>
        <v>206.69645768348028</v>
      </c>
      <c r="K47" s="10">
        <f t="shared" si="2"/>
        <v>206.55357619228494</v>
      </c>
      <c r="L47" s="10">
        <f t="shared" si="0"/>
        <v>413.25003387576521</v>
      </c>
      <c r="M47" s="10">
        <f t="shared" si="3"/>
        <v>22342.1508983692</v>
      </c>
    </row>
    <row r="48" spans="8:13" x14ac:dyDescent="0.45">
      <c r="H48" s="9">
        <v>46</v>
      </c>
      <c r="I48" s="10">
        <f t="shared" si="4"/>
        <v>22342.1508983692</v>
      </c>
      <c r="J48" s="10">
        <f t="shared" si="1"/>
        <v>204.80304990171766</v>
      </c>
      <c r="K48" s="10">
        <f t="shared" si="2"/>
        <v>208.44698397404755</v>
      </c>
      <c r="L48" s="10">
        <f t="shared" si="0"/>
        <v>413.25003387576521</v>
      </c>
      <c r="M48" s="10">
        <f t="shared" si="3"/>
        <v>22133.703914395152</v>
      </c>
    </row>
    <row r="49" spans="8:13" x14ac:dyDescent="0.45">
      <c r="H49" s="9">
        <v>47</v>
      </c>
      <c r="I49" s="10">
        <f t="shared" si="4"/>
        <v>22133.703914395152</v>
      </c>
      <c r="J49" s="10">
        <f t="shared" si="1"/>
        <v>202.89228588195556</v>
      </c>
      <c r="K49" s="10">
        <f t="shared" si="2"/>
        <v>210.35774799380965</v>
      </c>
      <c r="L49" s="10">
        <f t="shared" si="0"/>
        <v>413.25003387576521</v>
      </c>
      <c r="M49" s="10">
        <f t="shared" si="3"/>
        <v>21923.346166401341</v>
      </c>
    </row>
    <row r="50" spans="8:13" x14ac:dyDescent="0.45">
      <c r="H50" s="9">
        <v>48</v>
      </c>
      <c r="I50" s="10">
        <f t="shared" si="4"/>
        <v>21923.346166401341</v>
      </c>
      <c r="J50" s="10">
        <f t="shared" si="1"/>
        <v>200.96400652534564</v>
      </c>
      <c r="K50" s="10">
        <f t="shared" si="2"/>
        <v>212.28602735041957</v>
      </c>
      <c r="L50" s="10">
        <f t="shared" si="0"/>
        <v>413.25003387576521</v>
      </c>
      <c r="M50" s="10">
        <f t="shared" si="3"/>
        <v>21711.060139050922</v>
      </c>
    </row>
    <row r="51" spans="8:13" x14ac:dyDescent="0.45">
      <c r="H51" s="9">
        <v>49</v>
      </c>
      <c r="I51" s="10">
        <f t="shared" si="4"/>
        <v>21711.060139050922</v>
      </c>
      <c r="J51" s="10">
        <f t="shared" si="1"/>
        <v>199.01805127463345</v>
      </c>
      <c r="K51" s="10">
        <f t="shared" si="2"/>
        <v>214.23198260113176</v>
      </c>
      <c r="L51" s="10">
        <f t="shared" si="0"/>
        <v>413.25003387576521</v>
      </c>
      <c r="M51" s="10">
        <f t="shared" si="3"/>
        <v>21496.828156449788</v>
      </c>
    </row>
    <row r="52" spans="8:13" x14ac:dyDescent="0.45">
      <c r="H52" s="9">
        <v>50</v>
      </c>
      <c r="I52" s="10">
        <f t="shared" si="4"/>
        <v>21496.828156449788</v>
      </c>
      <c r="J52" s="10">
        <f t="shared" si="1"/>
        <v>197.05425810078972</v>
      </c>
      <c r="K52" s="10">
        <f t="shared" si="2"/>
        <v>216.19577577497549</v>
      </c>
      <c r="L52" s="10">
        <f t="shared" si="0"/>
        <v>413.25003387576521</v>
      </c>
      <c r="M52" s="10">
        <f t="shared" si="3"/>
        <v>21280.632380674811</v>
      </c>
    </row>
    <row r="53" spans="8:13" x14ac:dyDescent="0.45">
      <c r="H53" s="9">
        <v>51</v>
      </c>
      <c r="I53" s="10">
        <f t="shared" si="4"/>
        <v>21280.632380674811</v>
      </c>
      <c r="J53" s="10">
        <f t="shared" si="1"/>
        <v>195.07246348951909</v>
      </c>
      <c r="K53" s="10">
        <f t="shared" si="2"/>
        <v>218.17757038624612</v>
      </c>
      <c r="L53" s="10">
        <f t="shared" si="0"/>
        <v>413.25003387576521</v>
      </c>
      <c r="M53" s="10">
        <f t="shared" si="3"/>
        <v>21062.454810288564</v>
      </c>
    </row>
    <row r="54" spans="8:13" x14ac:dyDescent="0.45">
      <c r="H54" s="9">
        <v>52</v>
      </c>
      <c r="I54" s="10">
        <f t="shared" si="4"/>
        <v>21062.454810288564</v>
      </c>
      <c r="J54" s="10">
        <f t="shared" si="1"/>
        <v>193.07250242764516</v>
      </c>
      <c r="K54" s="10">
        <f t="shared" si="2"/>
        <v>220.17753144812005</v>
      </c>
      <c r="L54" s="10">
        <f t="shared" si="0"/>
        <v>413.25003387576521</v>
      </c>
      <c r="M54" s="10">
        <f t="shared" si="3"/>
        <v>20842.277278840444</v>
      </c>
    </row>
    <row r="55" spans="8:13" x14ac:dyDescent="0.45">
      <c r="H55" s="9">
        <v>53</v>
      </c>
      <c r="I55" s="10">
        <f t="shared" si="4"/>
        <v>20842.277278840444</v>
      </c>
      <c r="J55" s="10">
        <f t="shared" si="1"/>
        <v>191.05420838937073</v>
      </c>
      <c r="K55" s="10">
        <f t="shared" si="2"/>
        <v>222.19582548639448</v>
      </c>
      <c r="L55" s="10">
        <f t="shared" si="0"/>
        <v>413.25003387576521</v>
      </c>
      <c r="M55" s="10">
        <f t="shared" si="3"/>
        <v>20620.081453354051</v>
      </c>
    </row>
    <row r="56" spans="8:13" x14ac:dyDescent="0.45">
      <c r="H56" s="9">
        <v>54</v>
      </c>
      <c r="I56" s="10">
        <f t="shared" si="4"/>
        <v>20620.081453354051</v>
      </c>
      <c r="J56" s="10">
        <f t="shared" si="1"/>
        <v>189.01741332241212</v>
      </c>
      <c r="K56" s="10">
        <f t="shared" si="2"/>
        <v>224.23262055335309</v>
      </c>
      <c r="L56" s="10">
        <f t="shared" si="0"/>
        <v>413.25003387576521</v>
      </c>
      <c r="M56" s="10">
        <f t="shared" si="3"/>
        <v>20395.848832800697</v>
      </c>
    </row>
    <row r="57" spans="8:13" x14ac:dyDescent="0.45">
      <c r="H57" s="9">
        <v>55</v>
      </c>
      <c r="I57" s="10">
        <f t="shared" si="4"/>
        <v>20395.848832800697</v>
      </c>
      <c r="J57" s="10">
        <f t="shared" si="1"/>
        <v>186.96194763400638</v>
      </c>
      <c r="K57" s="10">
        <f t="shared" si="2"/>
        <v>226.28808624175883</v>
      </c>
      <c r="L57" s="10">
        <f t="shared" si="0"/>
        <v>413.25003387576521</v>
      </c>
      <c r="M57" s="10">
        <f t="shared" si="3"/>
        <v>20169.560746558938</v>
      </c>
    </row>
    <row r="58" spans="8:13" x14ac:dyDescent="0.45">
      <c r="H58" s="9">
        <v>56</v>
      </c>
      <c r="I58" s="10">
        <f t="shared" si="4"/>
        <v>20169.560746558938</v>
      </c>
      <c r="J58" s="10">
        <f t="shared" si="1"/>
        <v>184.88764017679026</v>
      </c>
      <c r="K58" s="10">
        <f t="shared" si="2"/>
        <v>228.36239369897496</v>
      </c>
      <c r="L58" s="10">
        <f t="shared" si="0"/>
        <v>413.25003387576521</v>
      </c>
      <c r="M58" s="10">
        <f t="shared" si="3"/>
        <v>19941.198352859963</v>
      </c>
    </row>
    <row r="59" spans="8:13" x14ac:dyDescent="0.45">
      <c r="H59" s="9">
        <v>57</v>
      </c>
      <c r="I59" s="10">
        <f t="shared" si="4"/>
        <v>19941.198352859963</v>
      </c>
      <c r="J59" s="10">
        <f t="shared" si="1"/>
        <v>182.79431823454965</v>
      </c>
      <c r="K59" s="10">
        <f t="shared" si="2"/>
        <v>230.45571564121556</v>
      </c>
      <c r="L59" s="10">
        <f t="shared" si="0"/>
        <v>413.25003387576521</v>
      </c>
      <c r="M59" s="10">
        <f t="shared" si="3"/>
        <v>19710.742637218747</v>
      </c>
    </row>
    <row r="60" spans="8:13" x14ac:dyDescent="0.45">
      <c r="H60" s="9">
        <v>58</v>
      </c>
      <c r="I60" s="10">
        <f t="shared" si="4"/>
        <v>19710.742637218747</v>
      </c>
      <c r="J60" s="10">
        <f t="shared" si="1"/>
        <v>180.68180750783853</v>
      </c>
      <c r="K60" s="10">
        <f t="shared" si="2"/>
        <v>232.56822636792668</v>
      </c>
      <c r="L60" s="10">
        <f t="shared" si="0"/>
        <v>413.25003387576521</v>
      </c>
      <c r="M60" s="10">
        <f t="shared" si="3"/>
        <v>19478.174410850821</v>
      </c>
    </row>
    <row r="61" spans="8:13" x14ac:dyDescent="0.45">
      <c r="H61" s="9">
        <v>59</v>
      </c>
      <c r="I61" s="10">
        <f t="shared" si="4"/>
        <v>19478.174410850821</v>
      </c>
      <c r="J61" s="10">
        <f t="shared" si="1"/>
        <v>178.54993209946585</v>
      </c>
      <c r="K61" s="10">
        <f t="shared" si="2"/>
        <v>234.70010177629936</v>
      </c>
      <c r="L61" s="10">
        <f t="shared" si="0"/>
        <v>413.25003387576521</v>
      </c>
      <c r="M61" s="10">
        <f t="shared" si="3"/>
        <v>19243.474309074521</v>
      </c>
    </row>
    <row r="62" spans="8:13" x14ac:dyDescent="0.45">
      <c r="H62" s="9">
        <v>60</v>
      </c>
      <c r="I62" s="10">
        <f t="shared" si="4"/>
        <v>19243.474309074521</v>
      </c>
      <c r="J62" s="10">
        <f t="shared" si="1"/>
        <v>176.39851449984977</v>
      </c>
      <c r="K62" s="10">
        <f t="shared" si="2"/>
        <v>236.85151937591544</v>
      </c>
      <c r="L62" s="10">
        <f t="shared" si="0"/>
        <v>413.25003387576521</v>
      </c>
      <c r="M62" s="10">
        <f t="shared" si="3"/>
        <v>19006.622789698606</v>
      </c>
    </row>
    <row r="63" spans="8:13" x14ac:dyDescent="0.45">
      <c r="H63" s="9">
        <v>61</v>
      </c>
      <c r="I63" s="10">
        <f t="shared" si="4"/>
        <v>19006.622789698606</v>
      </c>
      <c r="J63" s="10">
        <f t="shared" si="1"/>
        <v>174.22737557223721</v>
      </c>
      <c r="K63" s="10">
        <f t="shared" si="2"/>
        <v>239.022658303528</v>
      </c>
      <c r="L63" s="10">
        <f t="shared" si="0"/>
        <v>413.25003387576521</v>
      </c>
      <c r="M63" s="10">
        <f t="shared" si="3"/>
        <v>18767.600131395076</v>
      </c>
    </row>
    <row r="64" spans="8:13" x14ac:dyDescent="0.45">
      <c r="H64" s="9">
        <v>62</v>
      </c>
      <c r="I64" s="10">
        <f t="shared" si="4"/>
        <v>18767.600131395076</v>
      </c>
      <c r="J64" s="10">
        <f t="shared" si="1"/>
        <v>172.03633453778821</v>
      </c>
      <c r="K64" s="10">
        <f t="shared" si="2"/>
        <v>241.213699337977</v>
      </c>
      <c r="L64" s="10">
        <f t="shared" si="0"/>
        <v>413.25003387576521</v>
      </c>
      <c r="M64" s="10">
        <f t="shared" si="3"/>
        <v>18526.386432057101</v>
      </c>
    </row>
    <row r="65" spans="8:13" x14ac:dyDescent="0.45">
      <c r="H65" s="9">
        <v>63</v>
      </c>
      <c r="I65" s="10">
        <f t="shared" si="4"/>
        <v>18526.386432057101</v>
      </c>
      <c r="J65" s="10">
        <f t="shared" si="1"/>
        <v>169.82520896052344</v>
      </c>
      <c r="K65" s="10">
        <f t="shared" si="2"/>
        <v>243.42482491524177</v>
      </c>
      <c r="L65" s="10">
        <f t="shared" si="0"/>
        <v>413.25003387576521</v>
      </c>
      <c r="M65" s="10">
        <f t="shared" si="3"/>
        <v>18282.96160714186</v>
      </c>
    </row>
    <row r="66" spans="8:13" x14ac:dyDescent="0.45">
      <c r="H66" s="9">
        <v>64</v>
      </c>
      <c r="I66" s="10">
        <f t="shared" si="4"/>
        <v>18282.96160714186</v>
      </c>
      <c r="J66" s="10">
        <f t="shared" si="1"/>
        <v>167.59381473213372</v>
      </c>
      <c r="K66" s="10">
        <f t="shared" si="2"/>
        <v>245.65621914363149</v>
      </c>
      <c r="L66" s="10">
        <f t="shared" si="0"/>
        <v>413.25003387576521</v>
      </c>
      <c r="M66" s="10">
        <f t="shared" si="3"/>
        <v>18037.305387998229</v>
      </c>
    </row>
    <row r="67" spans="8:13" x14ac:dyDescent="0.45">
      <c r="H67" s="9">
        <v>65</v>
      </c>
      <c r="I67" s="10">
        <f t="shared" si="4"/>
        <v>18037.305387998229</v>
      </c>
      <c r="J67" s="10">
        <f t="shared" si="1"/>
        <v>165.34196605665042</v>
      </c>
      <c r="K67" s="10">
        <f t="shared" si="2"/>
        <v>247.90806781911479</v>
      </c>
      <c r="L67" s="10">
        <f t="shared" si="0"/>
        <v>413.25003387576521</v>
      </c>
      <c r="M67" s="10">
        <f t="shared" si="3"/>
        <v>17789.397320179116</v>
      </c>
    </row>
    <row r="68" spans="8:13" x14ac:dyDescent="0.45">
      <c r="H68" s="9">
        <v>66</v>
      </c>
      <c r="I68" s="10">
        <f t="shared" si="4"/>
        <v>17789.397320179116</v>
      </c>
      <c r="J68" s="10">
        <f t="shared" si="1"/>
        <v>163.06947543497523</v>
      </c>
      <c r="K68" s="10">
        <f t="shared" si="2"/>
        <v>250.18055844078998</v>
      </c>
      <c r="L68" s="10">
        <f t="shared" ref="L68:L122" si="5">$F$6</f>
        <v>413.25003387576521</v>
      </c>
      <c r="M68" s="10">
        <f t="shared" si="3"/>
        <v>17539.216761738327</v>
      </c>
    </row>
    <row r="69" spans="8:13" x14ac:dyDescent="0.45">
      <c r="H69" s="9">
        <v>67</v>
      </c>
      <c r="I69" s="10">
        <f t="shared" si="4"/>
        <v>17539.216761738327</v>
      </c>
      <c r="J69" s="10">
        <f t="shared" ref="J69:J122" si="6">I69*$F$3</f>
        <v>160.776153649268</v>
      </c>
      <c r="K69" s="10">
        <f t="shared" ref="K69:K122" si="7">L69-J69</f>
        <v>252.47388022649722</v>
      </c>
      <c r="L69" s="10">
        <f t="shared" si="5"/>
        <v>413.25003387576521</v>
      </c>
      <c r="M69" s="10">
        <f t="shared" ref="M69:M122" si="8">I69-K69</f>
        <v>17286.742881511829</v>
      </c>
    </row>
    <row r="70" spans="8:13" x14ac:dyDescent="0.45">
      <c r="H70" s="9">
        <v>68</v>
      </c>
      <c r="I70" s="10">
        <f t="shared" ref="I70:I122" si="9">M69</f>
        <v>17286.742881511829</v>
      </c>
      <c r="J70" s="10">
        <f t="shared" si="6"/>
        <v>158.46180974719178</v>
      </c>
      <c r="K70" s="10">
        <f t="shared" si="7"/>
        <v>254.78822412857343</v>
      </c>
      <c r="L70" s="10">
        <f t="shared" si="5"/>
        <v>413.25003387576521</v>
      </c>
      <c r="M70" s="10">
        <f t="shared" si="8"/>
        <v>17031.954657383256</v>
      </c>
    </row>
    <row r="71" spans="8:13" x14ac:dyDescent="0.45">
      <c r="H71" s="9">
        <v>69</v>
      </c>
      <c r="I71" s="10">
        <f t="shared" si="9"/>
        <v>17031.954657383256</v>
      </c>
      <c r="J71" s="10">
        <f t="shared" si="6"/>
        <v>156.12625102601319</v>
      </c>
      <c r="K71" s="10">
        <f t="shared" si="7"/>
        <v>257.12378284975205</v>
      </c>
      <c r="L71" s="10">
        <f t="shared" si="5"/>
        <v>413.25003387576521</v>
      </c>
      <c r="M71" s="10">
        <f t="shared" si="8"/>
        <v>16774.830874533505</v>
      </c>
    </row>
    <row r="72" spans="8:13" x14ac:dyDescent="0.45">
      <c r="H72" s="9">
        <v>70</v>
      </c>
      <c r="I72" s="10">
        <f t="shared" si="9"/>
        <v>16774.830874533505</v>
      </c>
      <c r="J72" s="10">
        <f t="shared" si="6"/>
        <v>153.76928301655713</v>
      </c>
      <c r="K72" s="10">
        <f t="shared" si="7"/>
        <v>259.48075085920811</v>
      </c>
      <c r="L72" s="10">
        <f t="shared" si="5"/>
        <v>413.25003387576521</v>
      </c>
      <c r="M72" s="10">
        <f t="shared" si="8"/>
        <v>16515.350123674296</v>
      </c>
    </row>
    <row r="73" spans="8:13" x14ac:dyDescent="0.45">
      <c r="H73" s="9">
        <v>71</v>
      </c>
      <c r="I73" s="10">
        <f t="shared" si="9"/>
        <v>16515.350123674296</v>
      </c>
      <c r="J73" s="10">
        <f t="shared" si="6"/>
        <v>151.39070946701437</v>
      </c>
      <c r="K73" s="10">
        <f t="shared" si="7"/>
        <v>261.85932440875081</v>
      </c>
      <c r="L73" s="10">
        <f t="shared" si="5"/>
        <v>413.25003387576521</v>
      </c>
      <c r="M73" s="10">
        <f t="shared" si="8"/>
        <v>16253.490799265544</v>
      </c>
    </row>
    <row r="74" spans="8:13" x14ac:dyDescent="0.45">
      <c r="H74" s="9">
        <v>72</v>
      </c>
      <c r="I74" s="10">
        <f t="shared" si="9"/>
        <v>16253.490799265544</v>
      </c>
      <c r="J74" s="10">
        <f t="shared" si="6"/>
        <v>148.99033232660082</v>
      </c>
      <c r="K74" s="10">
        <f t="shared" si="7"/>
        <v>264.25970154916439</v>
      </c>
      <c r="L74" s="10">
        <f t="shared" si="5"/>
        <v>413.25003387576521</v>
      </c>
      <c r="M74" s="10">
        <f t="shared" si="8"/>
        <v>15989.23109771638</v>
      </c>
    </row>
    <row r="75" spans="8:13" x14ac:dyDescent="0.45">
      <c r="H75" s="9">
        <v>73</v>
      </c>
      <c r="I75" s="10">
        <f t="shared" si="9"/>
        <v>15989.23109771638</v>
      </c>
      <c r="J75" s="10">
        <f t="shared" si="6"/>
        <v>146.56795172906681</v>
      </c>
      <c r="K75" s="10">
        <f t="shared" si="7"/>
        <v>266.68208214669841</v>
      </c>
      <c r="L75" s="10">
        <f t="shared" si="5"/>
        <v>413.25003387576521</v>
      </c>
      <c r="M75" s="10">
        <f t="shared" si="8"/>
        <v>15722.549015569681</v>
      </c>
    </row>
    <row r="76" spans="8:13" x14ac:dyDescent="0.45">
      <c r="H76" s="9">
        <v>74</v>
      </c>
      <c r="I76" s="10">
        <f t="shared" si="9"/>
        <v>15722.549015569681</v>
      </c>
      <c r="J76" s="10">
        <f t="shared" si="6"/>
        <v>144.1233659760554</v>
      </c>
      <c r="K76" s="10">
        <f t="shared" si="7"/>
        <v>269.12666789970979</v>
      </c>
      <c r="L76" s="10">
        <f t="shared" si="5"/>
        <v>413.25003387576521</v>
      </c>
      <c r="M76" s="10">
        <f t="shared" si="8"/>
        <v>15453.422347669972</v>
      </c>
    </row>
    <row r="77" spans="8:13" x14ac:dyDescent="0.45">
      <c r="H77" s="9">
        <v>75</v>
      </c>
      <c r="I77" s="10">
        <f t="shared" si="9"/>
        <v>15453.422347669972</v>
      </c>
      <c r="J77" s="10">
        <f t="shared" si="6"/>
        <v>141.65637152030808</v>
      </c>
      <c r="K77" s="10">
        <f t="shared" si="7"/>
        <v>271.59366235545713</v>
      </c>
      <c r="L77" s="10">
        <f t="shared" si="5"/>
        <v>413.25003387576521</v>
      </c>
      <c r="M77" s="10">
        <f t="shared" si="8"/>
        <v>15181.828685314515</v>
      </c>
    </row>
    <row r="78" spans="8:13" x14ac:dyDescent="0.45">
      <c r="H78" s="9">
        <v>76</v>
      </c>
      <c r="I78" s="10">
        <f t="shared" si="9"/>
        <v>15181.828685314515</v>
      </c>
      <c r="J78" s="10">
        <f t="shared" si="6"/>
        <v>139.16676294871638</v>
      </c>
      <c r="K78" s="10">
        <f t="shared" si="7"/>
        <v>274.08327092704883</v>
      </c>
      <c r="L78" s="10">
        <f t="shared" si="5"/>
        <v>413.25003387576521</v>
      </c>
      <c r="M78" s="10">
        <f t="shared" si="8"/>
        <v>14907.745414387466</v>
      </c>
    </row>
    <row r="79" spans="8:13" x14ac:dyDescent="0.45">
      <c r="H79" s="9">
        <v>77</v>
      </c>
      <c r="I79" s="10">
        <f t="shared" si="9"/>
        <v>14907.745414387466</v>
      </c>
      <c r="J79" s="10">
        <f t="shared" si="6"/>
        <v>136.65433296521843</v>
      </c>
      <c r="K79" s="10">
        <f t="shared" si="7"/>
        <v>276.59570091054678</v>
      </c>
      <c r="L79" s="10">
        <f t="shared" si="5"/>
        <v>413.25003387576521</v>
      </c>
      <c r="M79" s="10">
        <f t="shared" si="8"/>
        <v>14631.14971347692</v>
      </c>
    </row>
    <row r="80" spans="8:13" x14ac:dyDescent="0.45">
      <c r="H80" s="9">
        <v>78</v>
      </c>
      <c r="I80" s="10">
        <f t="shared" si="9"/>
        <v>14631.14971347692</v>
      </c>
      <c r="J80" s="10">
        <f t="shared" si="6"/>
        <v>134.11887237353844</v>
      </c>
      <c r="K80" s="10">
        <f t="shared" si="7"/>
        <v>279.13116150222675</v>
      </c>
      <c r="L80" s="10">
        <f t="shared" si="5"/>
        <v>413.25003387576521</v>
      </c>
      <c r="M80" s="10">
        <f t="shared" si="8"/>
        <v>14352.018551974694</v>
      </c>
    </row>
    <row r="81" spans="8:13" x14ac:dyDescent="0.45">
      <c r="H81" s="9">
        <v>79</v>
      </c>
      <c r="I81" s="10">
        <f t="shared" si="9"/>
        <v>14352.018551974694</v>
      </c>
      <c r="J81" s="10">
        <f t="shared" si="6"/>
        <v>131.56017005976804</v>
      </c>
      <c r="K81" s="10">
        <f t="shared" si="7"/>
        <v>281.68986381599717</v>
      </c>
      <c r="L81" s="10">
        <f t="shared" si="5"/>
        <v>413.25003387576521</v>
      </c>
      <c r="M81" s="10">
        <f t="shared" si="8"/>
        <v>14070.328688158697</v>
      </c>
    </row>
    <row r="82" spans="8:13" x14ac:dyDescent="0.45">
      <c r="H82" s="9">
        <v>80</v>
      </c>
      <c r="I82" s="10">
        <f t="shared" si="9"/>
        <v>14070.328688158697</v>
      </c>
      <c r="J82" s="10">
        <f t="shared" si="6"/>
        <v>128.97801297478807</v>
      </c>
      <c r="K82" s="10">
        <f t="shared" si="7"/>
        <v>284.27202090097717</v>
      </c>
      <c r="L82" s="10">
        <f t="shared" si="5"/>
        <v>413.25003387576521</v>
      </c>
      <c r="M82" s="10">
        <f t="shared" si="8"/>
        <v>13786.056667257721</v>
      </c>
    </row>
    <row r="83" spans="8:13" x14ac:dyDescent="0.45">
      <c r="H83" s="9">
        <v>81</v>
      </c>
      <c r="I83" s="10">
        <f t="shared" si="9"/>
        <v>13786.056667257721</v>
      </c>
      <c r="J83" s="10">
        <f t="shared" si="6"/>
        <v>126.37218611652911</v>
      </c>
      <c r="K83" s="10">
        <f t="shared" si="7"/>
        <v>286.87784775923609</v>
      </c>
      <c r="L83" s="10">
        <f t="shared" si="5"/>
        <v>413.25003387576521</v>
      </c>
      <c r="M83" s="10">
        <f t="shared" si="8"/>
        <v>13499.178819498484</v>
      </c>
    </row>
    <row r="84" spans="8:13" x14ac:dyDescent="0.45">
      <c r="H84" s="9">
        <v>82</v>
      </c>
      <c r="I84" s="10">
        <f t="shared" si="9"/>
        <v>13499.178819498484</v>
      </c>
      <c r="J84" s="10">
        <f t="shared" si="6"/>
        <v>123.74247251206944</v>
      </c>
      <c r="K84" s="10">
        <f t="shared" si="7"/>
        <v>289.5075613636958</v>
      </c>
      <c r="L84" s="10">
        <f t="shared" si="5"/>
        <v>413.25003387576521</v>
      </c>
      <c r="M84" s="10">
        <f t="shared" si="8"/>
        <v>13209.671258134787</v>
      </c>
    </row>
    <row r="85" spans="8:13" x14ac:dyDescent="0.45">
      <c r="H85" s="9">
        <v>83</v>
      </c>
      <c r="I85" s="10">
        <f t="shared" si="9"/>
        <v>13209.671258134787</v>
      </c>
      <c r="J85" s="10">
        <f t="shared" si="6"/>
        <v>121.08865319956888</v>
      </c>
      <c r="K85" s="10">
        <f t="shared" si="7"/>
        <v>292.16138067619636</v>
      </c>
      <c r="L85" s="10">
        <f t="shared" si="5"/>
        <v>413.25003387576521</v>
      </c>
      <c r="M85" s="10">
        <f t="shared" si="8"/>
        <v>12917.509877458591</v>
      </c>
    </row>
    <row r="86" spans="8:13" x14ac:dyDescent="0.45">
      <c r="H86" s="9">
        <v>84</v>
      </c>
      <c r="I86" s="10">
        <f t="shared" si="9"/>
        <v>12917.509877458591</v>
      </c>
      <c r="J86" s="10">
        <f t="shared" si="6"/>
        <v>118.41050721003708</v>
      </c>
      <c r="K86" s="10">
        <f t="shared" si="7"/>
        <v>294.83952666572816</v>
      </c>
      <c r="L86" s="10">
        <f t="shared" si="5"/>
        <v>413.25003387576521</v>
      </c>
      <c r="M86" s="10">
        <f t="shared" si="8"/>
        <v>12622.670350792863</v>
      </c>
    </row>
    <row r="87" spans="8:13" x14ac:dyDescent="0.45">
      <c r="H87" s="9">
        <v>85</v>
      </c>
      <c r="I87" s="10">
        <f t="shared" si="9"/>
        <v>12622.670350792863</v>
      </c>
      <c r="J87" s="10">
        <f t="shared" si="6"/>
        <v>115.70781154893459</v>
      </c>
      <c r="K87" s="10">
        <f t="shared" si="7"/>
        <v>297.5422223268306</v>
      </c>
      <c r="L87" s="10">
        <f t="shared" si="5"/>
        <v>413.25003387576521</v>
      </c>
      <c r="M87" s="10">
        <f t="shared" si="8"/>
        <v>12325.128128466033</v>
      </c>
    </row>
    <row r="88" spans="8:13" x14ac:dyDescent="0.45">
      <c r="H88" s="9">
        <v>86</v>
      </c>
      <c r="I88" s="10">
        <f t="shared" si="9"/>
        <v>12325.128128466033</v>
      </c>
      <c r="J88" s="10">
        <f t="shared" si="6"/>
        <v>112.9803411776053</v>
      </c>
      <c r="K88" s="10">
        <f t="shared" si="7"/>
        <v>300.26969269815993</v>
      </c>
      <c r="L88" s="10">
        <f t="shared" si="5"/>
        <v>413.25003387576521</v>
      </c>
      <c r="M88" s="10">
        <f t="shared" si="8"/>
        <v>12024.858435767872</v>
      </c>
    </row>
    <row r="89" spans="8:13" x14ac:dyDescent="0.45">
      <c r="H89" s="9">
        <v>87</v>
      </c>
      <c r="I89" s="10">
        <f t="shared" si="9"/>
        <v>12024.858435767872</v>
      </c>
      <c r="J89" s="10">
        <f t="shared" si="6"/>
        <v>110.22786899453882</v>
      </c>
      <c r="K89" s="10">
        <f t="shared" si="7"/>
        <v>303.02216488122639</v>
      </c>
      <c r="L89" s="10">
        <f t="shared" si="5"/>
        <v>413.25003387576521</v>
      </c>
      <c r="M89" s="10">
        <f t="shared" si="8"/>
        <v>11721.836270886646</v>
      </c>
    </row>
    <row r="90" spans="8:13" x14ac:dyDescent="0.45">
      <c r="H90" s="9">
        <v>88</v>
      </c>
      <c r="I90" s="10">
        <f t="shared" si="9"/>
        <v>11721.836270886646</v>
      </c>
      <c r="J90" s="10">
        <f t="shared" si="6"/>
        <v>107.45016581646092</v>
      </c>
      <c r="K90" s="10">
        <f t="shared" si="7"/>
        <v>305.79986805930429</v>
      </c>
      <c r="L90" s="10">
        <f t="shared" si="5"/>
        <v>413.25003387576521</v>
      </c>
      <c r="M90" s="10">
        <f t="shared" si="8"/>
        <v>11416.036402827342</v>
      </c>
    </row>
    <row r="91" spans="8:13" x14ac:dyDescent="0.45">
      <c r="H91" s="9">
        <v>89</v>
      </c>
      <c r="I91" s="10">
        <f t="shared" si="9"/>
        <v>11416.036402827342</v>
      </c>
      <c r="J91" s="10">
        <f t="shared" si="6"/>
        <v>104.64700035925063</v>
      </c>
      <c r="K91" s="10">
        <f t="shared" si="7"/>
        <v>308.60303351651459</v>
      </c>
      <c r="L91" s="10">
        <f t="shared" si="5"/>
        <v>413.25003387576521</v>
      </c>
      <c r="M91" s="10">
        <f t="shared" si="8"/>
        <v>11107.433369310827</v>
      </c>
    </row>
    <row r="92" spans="8:13" x14ac:dyDescent="0.45">
      <c r="H92" s="9">
        <v>90</v>
      </c>
      <c r="I92" s="10">
        <f t="shared" si="9"/>
        <v>11107.433369310827</v>
      </c>
      <c r="J92" s="10">
        <f t="shared" si="6"/>
        <v>101.81813921868259</v>
      </c>
      <c r="K92" s="10">
        <f t="shared" si="7"/>
        <v>311.43189465708264</v>
      </c>
      <c r="L92" s="10">
        <f t="shared" si="5"/>
        <v>413.25003387576521</v>
      </c>
      <c r="M92" s="10">
        <f t="shared" si="8"/>
        <v>10796.001474653745</v>
      </c>
    </row>
    <row r="93" spans="8:13" x14ac:dyDescent="0.45">
      <c r="H93" s="9">
        <v>91</v>
      </c>
      <c r="I93" s="10">
        <f t="shared" si="9"/>
        <v>10796.001474653745</v>
      </c>
      <c r="J93" s="10">
        <f t="shared" si="6"/>
        <v>98.963346850992664</v>
      </c>
      <c r="K93" s="10">
        <f t="shared" si="7"/>
        <v>314.28668702477256</v>
      </c>
      <c r="L93" s="10">
        <f t="shared" si="5"/>
        <v>413.25003387576521</v>
      </c>
      <c r="M93" s="10">
        <f t="shared" si="8"/>
        <v>10481.714787628973</v>
      </c>
    </row>
    <row r="94" spans="8:13" x14ac:dyDescent="0.45">
      <c r="H94" s="9">
        <v>92</v>
      </c>
      <c r="I94" s="10">
        <f t="shared" si="9"/>
        <v>10481.714787628973</v>
      </c>
      <c r="J94" s="10">
        <f t="shared" si="6"/>
        <v>96.082385553265581</v>
      </c>
      <c r="K94" s="10">
        <f t="shared" si="7"/>
        <v>317.16764832249964</v>
      </c>
      <c r="L94" s="10">
        <f t="shared" si="5"/>
        <v>413.25003387576521</v>
      </c>
      <c r="M94" s="10">
        <f t="shared" si="8"/>
        <v>10164.547139306473</v>
      </c>
    </row>
    <row r="95" spans="8:13" x14ac:dyDescent="0.45">
      <c r="H95" s="9">
        <v>93</v>
      </c>
      <c r="I95" s="10">
        <f t="shared" si="9"/>
        <v>10164.547139306473</v>
      </c>
      <c r="J95" s="10">
        <f t="shared" si="6"/>
        <v>93.175015443642664</v>
      </c>
      <c r="K95" s="10">
        <f t="shared" si="7"/>
        <v>320.07501843212253</v>
      </c>
      <c r="L95" s="10">
        <f t="shared" si="5"/>
        <v>413.25003387576521</v>
      </c>
      <c r="M95" s="10">
        <f t="shared" si="8"/>
        <v>9844.4721208743504</v>
      </c>
    </row>
    <row r="96" spans="8:13" x14ac:dyDescent="0.45">
      <c r="H96" s="9">
        <v>94</v>
      </c>
      <c r="I96" s="10">
        <f t="shared" si="9"/>
        <v>9844.4721208743504</v>
      </c>
      <c r="J96" s="10">
        <f t="shared" si="6"/>
        <v>90.240994441348207</v>
      </c>
      <c r="K96" s="10">
        <f t="shared" si="7"/>
        <v>323.00903943441699</v>
      </c>
      <c r="L96" s="10">
        <f t="shared" si="5"/>
        <v>413.25003387576521</v>
      </c>
      <c r="M96" s="10">
        <f t="shared" si="8"/>
        <v>9521.4630814399334</v>
      </c>
    </row>
    <row r="97" spans="8:13" x14ac:dyDescent="0.45">
      <c r="H97" s="9">
        <v>95</v>
      </c>
      <c r="I97" s="10">
        <f t="shared" si="9"/>
        <v>9521.4630814399334</v>
      </c>
      <c r="J97" s="10">
        <f t="shared" si="6"/>
        <v>87.280078246532725</v>
      </c>
      <c r="K97" s="10">
        <f t="shared" si="7"/>
        <v>325.96995562923246</v>
      </c>
      <c r="L97" s="10">
        <f t="shared" si="5"/>
        <v>413.25003387576521</v>
      </c>
      <c r="M97" s="10">
        <f t="shared" si="8"/>
        <v>9195.4931258107008</v>
      </c>
    </row>
    <row r="98" spans="8:13" x14ac:dyDescent="0.45">
      <c r="H98" s="9">
        <v>96</v>
      </c>
      <c r="I98" s="10">
        <f t="shared" si="9"/>
        <v>9195.4931258107008</v>
      </c>
      <c r="J98" s="10">
        <f t="shared" si="6"/>
        <v>84.292020319931424</v>
      </c>
      <c r="K98" s="10">
        <f t="shared" si="7"/>
        <v>328.95801355583376</v>
      </c>
      <c r="L98" s="10">
        <f t="shared" si="5"/>
        <v>413.25003387576521</v>
      </c>
      <c r="M98" s="10">
        <f t="shared" si="8"/>
        <v>8866.5351122548673</v>
      </c>
    </row>
    <row r="99" spans="8:13" x14ac:dyDescent="0.45">
      <c r="H99" s="9">
        <v>97</v>
      </c>
      <c r="I99" s="10">
        <f t="shared" si="9"/>
        <v>8866.5351122548673</v>
      </c>
      <c r="J99" s="10">
        <f t="shared" si="6"/>
        <v>81.276571862336283</v>
      </c>
      <c r="K99" s="10">
        <f t="shared" si="7"/>
        <v>331.97346201342896</v>
      </c>
      <c r="L99" s="10">
        <f t="shared" si="5"/>
        <v>413.25003387576521</v>
      </c>
      <c r="M99" s="10">
        <f t="shared" si="8"/>
        <v>8534.5616502414377</v>
      </c>
    </row>
    <row r="100" spans="8:13" x14ac:dyDescent="0.45">
      <c r="H100" s="9">
        <v>98</v>
      </c>
      <c r="I100" s="10">
        <f t="shared" si="9"/>
        <v>8534.5616502414377</v>
      </c>
      <c r="J100" s="10">
        <f t="shared" si="6"/>
        <v>78.233481793879847</v>
      </c>
      <c r="K100" s="10">
        <f t="shared" si="7"/>
        <v>335.01655208188538</v>
      </c>
      <c r="L100" s="10">
        <f t="shared" si="5"/>
        <v>413.25003387576521</v>
      </c>
      <c r="M100" s="10">
        <f t="shared" si="8"/>
        <v>8199.5450981595532</v>
      </c>
    </row>
    <row r="101" spans="8:13" x14ac:dyDescent="0.45">
      <c r="H101" s="9">
        <v>99</v>
      </c>
      <c r="I101" s="10">
        <f t="shared" si="9"/>
        <v>8199.5450981595532</v>
      </c>
      <c r="J101" s="10">
        <f t="shared" si="6"/>
        <v>75.162496733129231</v>
      </c>
      <c r="K101" s="10">
        <f t="shared" si="7"/>
        <v>338.08753714263599</v>
      </c>
      <c r="L101" s="10">
        <f t="shared" si="5"/>
        <v>413.25003387576521</v>
      </c>
      <c r="M101" s="10">
        <f t="shared" si="8"/>
        <v>7861.4575610169168</v>
      </c>
    </row>
    <row r="102" spans="8:13" x14ac:dyDescent="0.45">
      <c r="H102" s="9">
        <v>100</v>
      </c>
      <c r="I102" s="10">
        <f t="shared" si="9"/>
        <v>7861.4575610169168</v>
      </c>
      <c r="J102" s="10">
        <f t="shared" si="6"/>
        <v>72.063360975988402</v>
      </c>
      <c r="K102" s="10">
        <f t="shared" si="7"/>
        <v>341.1866728997768</v>
      </c>
      <c r="L102" s="10">
        <f t="shared" si="5"/>
        <v>413.25003387576521</v>
      </c>
      <c r="M102" s="10">
        <f t="shared" si="8"/>
        <v>7520.2708881171402</v>
      </c>
    </row>
    <row r="103" spans="8:13" x14ac:dyDescent="0.45">
      <c r="H103" s="9">
        <v>101</v>
      </c>
      <c r="I103" s="10">
        <f t="shared" si="9"/>
        <v>7520.2708881171402</v>
      </c>
      <c r="J103" s="10">
        <f t="shared" si="6"/>
        <v>68.935816474407119</v>
      </c>
      <c r="K103" s="10">
        <f t="shared" si="7"/>
        <v>344.31421740135806</v>
      </c>
      <c r="L103" s="10">
        <f t="shared" si="5"/>
        <v>413.25003387576521</v>
      </c>
      <c r="M103" s="10">
        <f t="shared" si="8"/>
        <v>7175.9566707157819</v>
      </c>
    </row>
    <row r="104" spans="8:13" x14ac:dyDescent="0.45">
      <c r="H104" s="9">
        <v>102</v>
      </c>
      <c r="I104" s="10">
        <f t="shared" si="9"/>
        <v>7175.9566707157819</v>
      </c>
      <c r="J104" s="10">
        <f t="shared" si="6"/>
        <v>65.779602814894673</v>
      </c>
      <c r="K104" s="10">
        <f t="shared" si="7"/>
        <v>347.47043106087051</v>
      </c>
      <c r="L104" s="10">
        <f t="shared" si="5"/>
        <v>413.25003387576521</v>
      </c>
      <c r="M104" s="10">
        <f t="shared" si="8"/>
        <v>6828.4862396549115</v>
      </c>
    </row>
    <row r="105" spans="8:13" x14ac:dyDescent="0.45">
      <c r="H105" s="9">
        <v>103</v>
      </c>
      <c r="I105" s="10">
        <f t="shared" si="9"/>
        <v>6828.4862396549115</v>
      </c>
      <c r="J105" s="10">
        <f t="shared" si="6"/>
        <v>62.594457196836686</v>
      </c>
      <c r="K105" s="10">
        <f t="shared" si="7"/>
        <v>350.65557667892853</v>
      </c>
      <c r="L105" s="10">
        <f t="shared" si="5"/>
        <v>413.25003387576521</v>
      </c>
      <c r="M105" s="10">
        <f t="shared" si="8"/>
        <v>6477.8306629759827</v>
      </c>
    </row>
    <row r="106" spans="8:13" x14ac:dyDescent="0.45">
      <c r="H106" s="9">
        <v>104</v>
      </c>
      <c r="I106" s="10">
        <f t="shared" si="9"/>
        <v>6477.8306629759827</v>
      </c>
      <c r="J106" s="10">
        <f t="shared" si="6"/>
        <v>59.380114410613174</v>
      </c>
      <c r="K106" s="10">
        <f t="shared" si="7"/>
        <v>353.86991946515207</v>
      </c>
      <c r="L106" s="10">
        <f t="shared" si="5"/>
        <v>413.25003387576521</v>
      </c>
      <c r="M106" s="10">
        <f t="shared" si="8"/>
        <v>6123.960743510831</v>
      </c>
    </row>
    <row r="107" spans="8:13" x14ac:dyDescent="0.45">
      <c r="H107" s="9">
        <v>105</v>
      </c>
      <c r="I107" s="10">
        <f t="shared" si="9"/>
        <v>6123.960743510831</v>
      </c>
      <c r="J107" s="10">
        <f t="shared" si="6"/>
        <v>56.136306815515951</v>
      </c>
      <c r="K107" s="10">
        <f t="shared" si="7"/>
        <v>357.11372706024929</v>
      </c>
      <c r="L107" s="10">
        <f t="shared" si="5"/>
        <v>413.25003387576521</v>
      </c>
      <c r="M107" s="10">
        <f t="shared" si="8"/>
        <v>5766.8470164505816</v>
      </c>
    </row>
    <row r="108" spans="8:13" x14ac:dyDescent="0.45">
      <c r="H108" s="9">
        <v>106</v>
      </c>
      <c r="I108" s="10">
        <f t="shared" si="9"/>
        <v>5766.8470164505816</v>
      </c>
      <c r="J108" s="10">
        <f t="shared" si="6"/>
        <v>52.862764317463665</v>
      </c>
      <c r="K108" s="10">
        <f t="shared" si="7"/>
        <v>360.38726955830157</v>
      </c>
      <c r="L108" s="10">
        <f t="shared" si="5"/>
        <v>413.25003387576521</v>
      </c>
      <c r="M108" s="10">
        <f t="shared" si="8"/>
        <v>5406.4597468922802</v>
      </c>
    </row>
    <row r="109" spans="8:13" x14ac:dyDescent="0.45">
      <c r="H109" s="9">
        <v>107</v>
      </c>
      <c r="I109" s="10">
        <f t="shared" si="9"/>
        <v>5406.4597468922802</v>
      </c>
      <c r="J109" s="10">
        <f t="shared" si="6"/>
        <v>49.559214346512569</v>
      </c>
      <c r="K109" s="10">
        <f t="shared" si="7"/>
        <v>363.69081952925262</v>
      </c>
      <c r="L109" s="10">
        <f t="shared" si="5"/>
        <v>413.25003387576521</v>
      </c>
      <c r="M109" s="10">
        <f t="shared" si="8"/>
        <v>5042.7689273630276</v>
      </c>
    </row>
    <row r="110" spans="8:13" x14ac:dyDescent="0.45">
      <c r="H110" s="9">
        <v>108</v>
      </c>
      <c r="I110" s="10">
        <f t="shared" si="9"/>
        <v>5042.7689273630276</v>
      </c>
      <c r="J110" s="10">
        <f t="shared" si="6"/>
        <v>46.225381834161084</v>
      </c>
      <c r="K110" s="10">
        <f t="shared" si="7"/>
        <v>367.0246520416041</v>
      </c>
      <c r="L110" s="10">
        <f t="shared" si="5"/>
        <v>413.25003387576521</v>
      </c>
      <c r="M110" s="10">
        <f t="shared" si="8"/>
        <v>4675.7442753214236</v>
      </c>
    </row>
    <row r="111" spans="8:13" x14ac:dyDescent="0.45">
      <c r="H111" s="9">
        <v>109</v>
      </c>
      <c r="I111" s="10">
        <f t="shared" si="9"/>
        <v>4675.7442753214236</v>
      </c>
      <c r="J111" s="10">
        <f t="shared" si="6"/>
        <v>42.860989190446382</v>
      </c>
      <c r="K111" s="10">
        <f t="shared" si="7"/>
        <v>370.38904468531882</v>
      </c>
      <c r="L111" s="10">
        <f t="shared" si="5"/>
        <v>413.25003387576521</v>
      </c>
      <c r="M111" s="10">
        <f t="shared" si="8"/>
        <v>4305.3552306361053</v>
      </c>
    </row>
    <row r="112" spans="8:13" x14ac:dyDescent="0.45">
      <c r="H112" s="9">
        <v>110</v>
      </c>
      <c r="I112" s="10">
        <f t="shared" si="9"/>
        <v>4305.3552306361053</v>
      </c>
      <c r="J112" s="10">
        <f t="shared" si="6"/>
        <v>39.465756280830966</v>
      </c>
      <c r="K112" s="10">
        <f t="shared" si="7"/>
        <v>373.78427759493422</v>
      </c>
      <c r="L112" s="10">
        <f t="shared" si="5"/>
        <v>413.25003387576521</v>
      </c>
      <c r="M112" s="10">
        <f t="shared" si="8"/>
        <v>3931.5709530411709</v>
      </c>
    </row>
    <row r="113" spans="8:13" x14ac:dyDescent="0.45">
      <c r="H113" s="9">
        <v>111</v>
      </c>
      <c r="I113" s="10">
        <f t="shared" si="9"/>
        <v>3931.5709530411709</v>
      </c>
      <c r="J113" s="10">
        <f t="shared" si="6"/>
        <v>36.039400402877398</v>
      </c>
      <c r="K113" s="10">
        <f t="shared" si="7"/>
        <v>377.21063347288782</v>
      </c>
      <c r="L113" s="10">
        <f t="shared" si="5"/>
        <v>413.25003387576521</v>
      </c>
      <c r="M113" s="10">
        <f t="shared" si="8"/>
        <v>3554.3603195682831</v>
      </c>
    </row>
    <row r="114" spans="8:13" x14ac:dyDescent="0.45">
      <c r="H114" s="9">
        <v>112</v>
      </c>
      <c r="I114" s="10">
        <f t="shared" si="9"/>
        <v>3554.3603195682831</v>
      </c>
      <c r="J114" s="10">
        <f t="shared" si="6"/>
        <v>32.58163626270926</v>
      </c>
      <c r="K114" s="10">
        <f t="shared" si="7"/>
        <v>380.66839761305596</v>
      </c>
      <c r="L114" s="10">
        <f t="shared" si="5"/>
        <v>413.25003387576521</v>
      </c>
      <c r="M114" s="10">
        <f t="shared" si="8"/>
        <v>3173.6919219552274</v>
      </c>
    </row>
    <row r="115" spans="8:13" x14ac:dyDescent="0.45">
      <c r="H115" s="9">
        <v>113</v>
      </c>
      <c r="I115" s="10">
        <f t="shared" si="9"/>
        <v>3173.6919219552274</v>
      </c>
      <c r="J115" s="10">
        <f t="shared" si="6"/>
        <v>29.092175951256252</v>
      </c>
      <c r="K115" s="10">
        <f t="shared" si="7"/>
        <v>384.15785792450896</v>
      </c>
      <c r="L115" s="10">
        <f t="shared" si="5"/>
        <v>413.25003387576521</v>
      </c>
      <c r="M115" s="10">
        <f t="shared" si="8"/>
        <v>2789.5340640307186</v>
      </c>
    </row>
    <row r="116" spans="8:13" x14ac:dyDescent="0.45">
      <c r="H116" s="9">
        <v>114</v>
      </c>
      <c r="I116" s="10">
        <f t="shared" si="9"/>
        <v>2789.5340640307186</v>
      </c>
      <c r="J116" s="10">
        <f t="shared" si="6"/>
        <v>25.570728920281589</v>
      </c>
      <c r="K116" s="10">
        <f t="shared" si="7"/>
        <v>387.67930495548364</v>
      </c>
      <c r="L116" s="10">
        <f t="shared" si="5"/>
        <v>413.25003387576521</v>
      </c>
      <c r="M116" s="10">
        <f t="shared" si="8"/>
        <v>2401.8547590752351</v>
      </c>
    </row>
    <row r="117" spans="8:13" x14ac:dyDescent="0.45">
      <c r="H117" s="9">
        <v>115</v>
      </c>
      <c r="I117" s="10">
        <f t="shared" si="9"/>
        <v>2401.8547590752351</v>
      </c>
      <c r="J117" s="10">
        <f t="shared" si="6"/>
        <v>22.017001958189656</v>
      </c>
      <c r="K117" s="10">
        <f t="shared" si="7"/>
        <v>391.23303191757554</v>
      </c>
      <c r="L117" s="10">
        <f t="shared" si="5"/>
        <v>413.25003387576521</v>
      </c>
      <c r="M117" s="10">
        <f t="shared" si="8"/>
        <v>2010.6217271576595</v>
      </c>
    </row>
    <row r="118" spans="8:13" x14ac:dyDescent="0.45">
      <c r="H118" s="9">
        <v>116</v>
      </c>
      <c r="I118" s="10">
        <f t="shared" si="9"/>
        <v>2010.6217271576595</v>
      </c>
      <c r="J118" s="10">
        <f t="shared" si="6"/>
        <v>18.43069916561188</v>
      </c>
      <c r="K118" s="10">
        <f t="shared" si="7"/>
        <v>394.81933471015333</v>
      </c>
      <c r="L118" s="10">
        <f t="shared" si="5"/>
        <v>413.25003387576521</v>
      </c>
      <c r="M118" s="10">
        <f t="shared" si="8"/>
        <v>1615.8023924475062</v>
      </c>
    </row>
    <row r="119" spans="8:13" x14ac:dyDescent="0.45">
      <c r="H119" s="9">
        <v>117</v>
      </c>
      <c r="I119" s="10">
        <f t="shared" si="9"/>
        <v>1615.8023924475062</v>
      </c>
      <c r="J119" s="10">
        <f t="shared" si="6"/>
        <v>14.811521930768807</v>
      </c>
      <c r="K119" s="10">
        <f t="shared" si="7"/>
        <v>398.43851194499638</v>
      </c>
      <c r="L119" s="10">
        <f t="shared" si="5"/>
        <v>413.25003387576521</v>
      </c>
      <c r="M119" s="10">
        <f t="shared" si="8"/>
        <v>1217.3638805025098</v>
      </c>
    </row>
    <row r="120" spans="8:13" x14ac:dyDescent="0.45">
      <c r="H120" s="9">
        <v>118</v>
      </c>
      <c r="I120" s="10">
        <f t="shared" si="9"/>
        <v>1217.3638805025098</v>
      </c>
      <c r="J120" s="10">
        <f t="shared" si="6"/>
        <v>11.159168904606339</v>
      </c>
      <c r="K120" s="10">
        <f t="shared" si="7"/>
        <v>402.09086497115885</v>
      </c>
      <c r="L120" s="10">
        <f t="shared" si="5"/>
        <v>413.25003387576521</v>
      </c>
      <c r="M120" s="10">
        <f t="shared" si="8"/>
        <v>815.27301553135089</v>
      </c>
    </row>
    <row r="121" spans="8:13" x14ac:dyDescent="0.45">
      <c r="H121" s="9">
        <v>119</v>
      </c>
      <c r="I121" s="10">
        <f t="shared" si="9"/>
        <v>815.27301553135089</v>
      </c>
      <c r="J121" s="10">
        <f t="shared" si="6"/>
        <v>7.4733359757040496</v>
      </c>
      <c r="K121" s="10">
        <f t="shared" si="7"/>
        <v>405.77669790006115</v>
      </c>
      <c r="L121" s="10">
        <f t="shared" si="5"/>
        <v>413.25003387576521</v>
      </c>
      <c r="M121" s="10">
        <f t="shared" si="8"/>
        <v>409.49631763128974</v>
      </c>
    </row>
    <row r="122" spans="8:13" x14ac:dyDescent="0.45">
      <c r="H122" s="9">
        <v>120</v>
      </c>
      <c r="I122" s="10">
        <f t="shared" si="9"/>
        <v>409.49631763128974</v>
      </c>
      <c r="J122" s="10">
        <f t="shared" si="6"/>
        <v>3.7537162449534893</v>
      </c>
      <c r="K122" s="10">
        <f t="shared" si="7"/>
        <v>409.49631763081175</v>
      </c>
      <c r="L122" s="10">
        <f t="shared" si="5"/>
        <v>413.25003387576521</v>
      </c>
      <c r="M122" s="10">
        <f t="shared" si="8"/>
        <v>4.779963092005346E-10</v>
      </c>
    </row>
    <row r="124" spans="8:13" x14ac:dyDescent="0.45">
      <c r="J124" s="3">
        <f t="shared" ref="J124:K124" si="10">SUM(J3:J122)</f>
        <v>19590.004065092307</v>
      </c>
      <c r="K124" s="3">
        <f t="shared" si="10"/>
        <v>29999.99999999952</v>
      </c>
      <c r="L124" s="3">
        <f>SUM(L3:L122)</f>
        <v>49590.004065091853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EF67A-5800-4180-9D88-F37527F1ACE8}">
  <dimension ref="A2:A5"/>
  <sheetViews>
    <sheetView workbookViewId="0">
      <selection activeCell="A5" sqref="A5"/>
    </sheetView>
  </sheetViews>
  <sheetFormatPr defaultRowHeight="14.25" x14ac:dyDescent="0.45"/>
  <sheetData>
    <row r="2" spans="1:1" x14ac:dyDescent="0.45">
      <c r="A2" s="6" t="s">
        <v>13</v>
      </c>
    </row>
    <row r="4" spans="1:1" x14ac:dyDescent="0.45">
      <c r="A4" t="s">
        <v>18</v>
      </c>
    </row>
    <row r="5" spans="1:1" x14ac:dyDescent="0.45">
      <c r="A5" t="s">
        <v>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E07AF2-E73C-473E-A3B5-C75C9631D8CE}">
  <dimension ref="A1:R31"/>
  <sheetViews>
    <sheetView zoomScaleNormal="100" workbookViewId="0">
      <selection activeCell="K13" sqref="K13"/>
    </sheetView>
  </sheetViews>
  <sheetFormatPr defaultRowHeight="14.25" x14ac:dyDescent="0.45"/>
  <cols>
    <col min="10" max="10" width="13.46484375" customWidth="1"/>
    <col min="12" max="12" width="12.6640625" customWidth="1"/>
    <col min="16" max="16" width="12.9296875" customWidth="1"/>
    <col min="18" max="18" width="14.3984375" customWidth="1"/>
  </cols>
  <sheetData>
    <row r="1" spans="1:18" x14ac:dyDescent="0.45">
      <c r="A1" t="s">
        <v>41</v>
      </c>
      <c r="H1" t="s">
        <v>40</v>
      </c>
      <c r="N1" t="s">
        <v>39</v>
      </c>
    </row>
    <row r="3" spans="1:18" x14ac:dyDescent="0.45">
      <c r="A3" s="12" t="s">
        <v>38</v>
      </c>
      <c r="B3" s="12" t="s">
        <v>37</v>
      </c>
      <c r="H3" s="22" t="s">
        <v>38</v>
      </c>
      <c r="I3" s="22" t="s">
        <v>37</v>
      </c>
      <c r="J3" s="21" t="s">
        <v>36</v>
      </c>
      <c r="K3" s="21" t="s">
        <v>35</v>
      </c>
      <c r="L3" s="21" t="s">
        <v>34</v>
      </c>
      <c r="N3" s="19" t="s">
        <v>38</v>
      </c>
      <c r="O3" s="19" t="s">
        <v>37</v>
      </c>
      <c r="P3" s="19" t="s">
        <v>36</v>
      </c>
      <c r="Q3" s="19" t="s">
        <v>35</v>
      </c>
      <c r="R3" s="19" t="s">
        <v>34</v>
      </c>
    </row>
    <row r="4" spans="1:18" x14ac:dyDescent="0.45">
      <c r="A4" s="9">
        <v>2012</v>
      </c>
      <c r="B4" s="9">
        <v>2.2999999999999998</v>
      </c>
      <c r="H4" s="20">
        <f>A4-2012</f>
        <v>0</v>
      </c>
      <c r="I4" s="20">
        <v>2.2999999999999998</v>
      </c>
      <c r="J4" s="20">
        <f>$I$12*$I$13^($I$14*H4)</f>
        <v>2.3001999999999998</v>
      </c>
      <c r="K4" s="20">
        <f>I4-J4</f>
        <v>-1.9999999999997797E-4</v>
      </c>
      <c r="L4" s="20">
        <f>ABS(K4)</f>
        <v>1.9999999999997797E-4</v>
      </c>
      <c r="N4" s="19">
        <v>0</v>
      </c>
      <c r="O4" s="19">
        <v>2.2999999999999998</v>
      </c>
      <c r="P4" s="19">
        <f>0.237*N4+2.28</f>
        <v>2.2799999999999998</v>
      </c>
      <c r="Q4" s="19">
        <f>O4-P4</f>
        <v>2.0000000000000018E-2</v>
      </c>
      <c r="R4" s="19">
        <f>ABS(Q4)</f>
        <v>2.0000000000000018E-2</v>
      </c>
    </row>
    <row r="5" spans="1:18" x14ac:dyDescent="0.45">
      <c r="A5" s="9">
        <v>2013</v>
      </c>
      <c r="B5" s="9">
        <v>2.5099999999999998</v>
      </c>
      <c r="C5">
        <f>B5/B4</f>
        <v>1.0913043478260869</v>
      </c>
      <c r="H5" s="20">
        <f>A5-2012</f>
        <v>1</v>
      </c>
      <c r="I5" s="20">
        <v>2.5099999999999998</v>
      </c>
      <c r="J5" s="20">
        <f>$I$12*$I$13^($I$14*H5)</f>
        <v>2.5075246609384116</v>
      </c>
      <c r="K5" s="20">
        <f>I5-J5</f>
        <v>2.4753390615881443E-3</v>
      </c>
      <c r="L5" s="20">
        <f>ABS(K5)</f>
        <v>2.4753390615881443E-3</v>
      </c>
      <c r="N5" s="19">
        <v>1</v>
      </c>
      <c r="O5" s="19">
        <v>2.5099999999999998</v>
      </c>
      <c r="P5" s="19">
        <f>0.237*N5+2.28</f>
        <v>2.5169999999999999</v>
      </c>
      <c r="Q5" s="19">
        <f>O5-P5</f>
        <v>-7.0000000000001172E-3</v>
      </c>
      <c r="R5" s="19">
        <f>ABS(Q5)</f>
        <v>7.0000000000001172E-3</v>
      </c>
    </row>
    <row r="6" spans="1:18" x14ac:dyDescent="0.45">
      <c r="A6" s="9">
        <v>2014</v>
      </c>
      <c r="B6" s="9">
        <v>2.73</v>
      </c>
      <c r="C6">
        <f>B6/B5</f>
        <v>1.0876494023904384</v>
      </c>
      <c r="H6" s="20">
        <f>A6-2012</f>
        <v>2</v>
      </c>
      <c r="I6" s="20">
        <v>2.73</v>
      </c>
      <c r="J6" s="20">
        <f>$I$12*$I$13^($I$14*H6)</f>
        <v>2.7335361817295438</v>
      </c>
      <c r="K6" s="20">
        <f>I6-J6</f>
        <v>-3.5361817295438414E-3</v>
      </c>
      <c r="L6" s="20">
        <f>ABS(K6)</f>
        <v>3.5361817295438414E-3</v>
      </c>
      <c r="N6" s="19">
        <v>2</v>
      </c>
      <c r="O6" s="19">
        <v>2.73</v>
      </c>
      <c r="P6" s="19">
        <f>0.237*N6+2.28</f>
        <v>2.7539999999999996</v>
      </c>
      <c r="Q6" s="19">
        <f>O6-P6</f>
        <v>-2.3999999999999577E-2</v>
      </c>
      <c r="R6" s="19">
        <f>ABS(Q6)</f>
        <v>2.3999999999999577E-2</v>
      </c>
    </row>
    <row r="7" spans="1:18" x14ac:dyDescent="0.45">
      <c r="A7" s="9">
        <v>2015</v>
      </c>
      <c r="B7" s="9">
        <v>2.98</v>
      </c>
      <c r="C7">
        <f>B7/B6</f>
        <v>1.0915750915750915</v>
      </c>
      <c r="H7" s="20">
        <f>A7-2012</f>
        <v>3</v>
      </c>
      <c r="I7" s="20">
        <v>2.98</v>
      </c>
      <c r="J7" s="20">
        <f>$I$12*$I$13^($I$14*H7)</f>
        <v>2.979918871078278</v>
      </c>
      <c r="K7" s="20">
        <f>I7-J7</f>
        <v>8.1128921721962399E-5</v>
      </c>
      <c r="L7" s="20">
        <f>ABS(K7)</f>
        <v>8.1128921721962399E-5</v>
      </c>
      <c r="N7" s="19">
        <v>3</v>
      </c>
      <c r="O7" s="19">
        <v>2.98</v>
      </c>
      <c r="P7" s="19">
        <f>0.237*N7+2.28</f>
        <v>2.9909999999999997</v>
      </c>
      <c r="Q7" s="19">
        <f>O7-P7</f>
        <v>-1.0999999999999677E-2</v>
      </c>
      <c r="R7" s="19">
        <f>ABS(Q7)</f>
        <v>1.0999999999999677E-2</v>
      </c>
    </row>
    <row r="8" spans="1:18" x14ac:dyDescent="0.45">
      <c r="A8" s="9">
        <v>2016</v>
      </c>
      <c r="B8" s="9">
        <v>3.25</v>
      </c>
      <c r="C8">
        <f>B8/B7</f>
        <v>1.0906040268456376</v>
      </c>
      <c r="H8" s="20">
        <f>A8-2012</f>
        <v>4</v>
      </c>
      <c r="I8" s="20">
        <v>3.25</v>
      </c>
      <c r="J8" s="20">
        <f>$I$12*$I$13^($I$14*H8)</f>
        <v>3.248508850023708</v>
      </c>
      <c r="K8" s="20">
        <f>I8-J8</f>
        <v>1.4911499762919611E-3</v>
      </c>
      <c r="L8" s="20">
        <f>ABS(K8)</f>
        <v>1.4911499762919611E-3</v>
      </c>
      <c r="N8" s="19">
        <v>4</v>
      </c>
      <c r="O8" s="19">
        <v>3.25</v>
      </c>
      <c r="P8" s="19">
        <f>0.237*N8+2.28</f>
        <v>3.2279999999999998</v>
      </c>
      <c r="Q8" s="19">
        <f>O8-P8</f>
        <v>2.2000000000000242E-2</v>
      </c>
      <c r="R8" s="19">
        <f>ABS(Q8)</f>
        <v>2.2000000000000242E-2</v>
      </c>
    </row>
    <row r="9" spans="1:18" x14ac:dyDescent="0.45">
      <c r="H9" s="17"/>
      <c r="I9" s="17"/>
      <c r="J9" s="17"/>
      <c r="K9" s="17"/>
      <c r="L9" s="17"/>
      <c r="N9" s="15"/>
      <c r="O9" s="15"/>
      <c r="P9" s="15"/>
      <c r="Q9" s="15"/>
      <c r="R9" s="15"/>
    </row>
    <row r="10" spans="1:18" ht="42.75" x14ac:dyDescent="0.45">
      <c r="H10" s="17"/>
      <c r="I10" s="17"/>
      <c r="J10" s="17"/>
      <c r="K10" s="18" t="s">
        <v>33</v>
      </c>
      <c r="L10" s="17">
        <f>AVERAGE(L4:L8)</f>
        <v>1.5567599378291774E-3</v>
      </c>
      <c r="N10" s="15"/>
      <c r="O10" s="15"/>
      <c r="P10" s="15"/>
      <c r="Q10" s="16" t="s">
        <v>32</v>
      </c>
      <c r="R10" s="15">
        <f>AVERAGE(R4:R8)</f>
        <v>1.6799999999999926E-2</v>
      </c>
    </row>
    <row r="12" spans="1:18" x14ac:dyDescent="0.45">
      <c r="H12" t="s">
        <v>31</v>
      </c>
      <c r="I12">
        <v>2.3001999999999998</v>
      </c>
    </row>
    <row r="13" spans="1:18" x14ac:dyDescent="0.45">
      <c r="H13" t="s">
        <v>30</v>
      </c>
      <c r="I13">
        <f>EXP(1)</f>
        <v>2.7182818284590451</v>
      </c>
    </row>
    <row r="14" spans="1:18" x14ac:dyDescent="0.45">
      <c r="H14" t="s">
        <v>29</v>
      </c>
      <c r="I14">
        <v>8.6300000000000002E-2</v>
      </c>
    </row>
    <row r="31" spans="8:8" x14ac:dyDescent="0.45">
      <c r="H31" s="14" t="s">
        <v>28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87393-5979-4484-9C30-DFAD718552F5}">
  <dimension ref="A2:E16"/>
  <sheetViews>
    <sheetView workbookViewId="0">
      <selection activeCell="A5" sqref="A5"/>
    </sheetView>
  </sheetViews>
  <sheetFormatPr defaultRowHeight="14.25" x14ac:dyDescent="0.45"/>
  <sheetData>
    <row r="2" spans="1:5" x14ac:dyDescent="0.45">
      <c r="A2" s="6" t="s">
        <v>19</v>
      </c>
    </row>
    <row r="4" spans="1:5" x14ac:dyDescent="0.45">
      <c r="A4" s="14" t="s">
        <v>42</v>
      </c>
    </row>
    <row r="5" spans="1:5" x14ac:dyDescent="0.45">
      <c r="A5" s="14"/>
    </row>
    <row r="6" spans="1:5" x14ac:dyDescent="0.45">
      <c r="A6" t="s">
        <v>23</v>
      </c>
    </row>
    <row r="8" spans="1:5" x14ac:dyDescent="0.45">
      <c r="A8" s="14" t="s">
        <v>20</v>
      </c>
      <c r="B8" s="14"/>
      <c r="C8" s="14"/>
      <c r="D8" s="14"/>
      <c r="E8" s="14"/>
    </row>
    <row r="9" spans="1:5" x14ac:dyDescent="0.45">
      <c r="A9" s="14" t="s">
        <v>21</v>
      </c>
      <c r="B9" s="14"/>
      <c r="C9" s="14"/>
      <c r="D9" s="14"/>
      <c r="E9" s="14"/>
    </row>
    <row r="10" spans="1:5" x14ac:dyDescent="0.45">
      <c r="A10" s="14" t="s">
        <v>22</v>
      </c>
      <c r="B10" s="14"/>
      <c r="C10" s="14"/>
      <c r="D10" s="14"/>
      <c r="E10" s="14"/>
    </row>
    <row r="12" spans="1:5" x14ac:dyDescent="0.45">
      <c r="A12" s="14" t="s">
        <v>24</v>
      </c>
    </row>
    <row r="14" spans="1:5" x14ac:dyDescent="0.45">
      <c r="A14" t="s">
        <v>25</v>
      </c>
    </row>
    <row r="15" spans="1:5" x14ac:dyDescent="0.45">
      <c r="A15" t="s">
        <v>26</v>
      </c>
    </row>
    <row r="16" spans="1:5" x14ac:dyDescent="0.45">
      <c r="A16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Loan 1</vt:lpstr>
      <vt:lpstr>Loan 2</vt:lpstr>
      <vt:lpstr>Assignment 11</vt:lpstr>
      <vt:lpstr>exponential vs. linear </vt:lpstr>
      <vt:lpstr>Case - Study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 Nguyen</dc:creator>
  <cp:lastModifiedBy>Son Nguyen</cp:lastModifiedBy>
  <dcterms:created xsi:type="dcterms:W3CDTF">2024-01-08T14:20:59Z</dcterms:created>
  <dcterms:modified xsi:type="dcterms:W3CDTF">2024-01-08T15:07:31Z</dcterms:modified>
</cp:coreProperties>
</file>