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jabishop\Desktop\Old Laptop\Math110\"/>
    </mc:Choice>
  </mc:AlternateContent>
  <bookViews>
    <workbookView xWindow="0" yWindow="0" windowWidth="23040" windowHeight="7812"/>
  </bookViews>
  <sheets>
    <sheet name="Questions" sheetId="5" r:id="rId1"/>
    <sheet name="GlobalTempLinear" sheetId="6" r:id="rId2"/>
    <sheet name="GlobalTempLinearSol" sheetId="2" r:id="rId3"/>
    <sheet name="GlobalTempQuad" sheetId="4" r:id="rId4"/>
    <sheet name="GlobalTempQuadSol" sheetId="7" r:id="rId5"/>
    <sheet name="OriginalWebsiteReference" sheetId="1" r:id="rId6"/>
  </sheets>
  <calcPr calcId="0"/>
</workbook>
</file>

<file path=xl/calcChain.xml><?xml version="1.0" encoding="utf-8"?>
<calcChain xmlns="http://schemas.openxmlformats.org/spreadsheetml/2006/main">
  <c r="J30" i="7" l="1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17" i="7" s="1"/>
  <c r="C5" i="7"/>
  <c r="C6" i="7"/>
  <c r="C7" i="7"/>
  <c r="C8" i="7"/>
  <c r="C9" i="7"/>
  <c r="C10" i="7"/>
  <c r="C11" i="7"/>
  <c r="C12" i="7"/>
  <c r="C13" i="7"/>
  <c r="C14" i="7"/>
  <c r="C15" i="7"/>
  <c r="C16" i="7"/>
  <c r="C4" i="7"/>
  <c r="C20" i="7"/>
  <c r="C20" i="2"/>
  <c r="E30" i="7"/>
  <c r="E31" i="7" s="1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C23" i="2"/>
  <c r="D17" i="2"/>
  <c r="D5" i="2"/>
  <c r="D6" i="2"/>
  <c r="D7" i="2"/>
  <c r="D8" i="2"/>
  <c r="D9" i="2"/>
  <c r="D10" i="2"/>
  <c r="D11" i="2"/>
  <c r="D12" i="2"/>
  <c r="D13" i="2"/>
  <c r="D14" i="2"/>
  <c r="D15" i="2"/>
  <c r="D16" i="2"/>
  <c r="D4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22" i="2"/>
  <c r="C21" i="2"/>
  <c r="E14" i="2"/>
  <c r="E16" i="2"/>
  <c r="E32" i="7" l="1"/>
  <c r="C23" i="7" s="1"/>
  <c r="C22" i="7"/>
  <c r="C21" i="7"/>
  <c r="J28" i="2" l="1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</calcChain>
</file>

<file path=xl/sharedStrings.xml><?xml version="1.0" encoding="utf-8"?>
<sst xmlns="http://schemas.openxmlformats.org/spreadsheetml/2006/main" count="112" uniqueCount="82">
  <si>
    <t>Land-Ocean: Global Means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</si>
  <si>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</si>
  <si>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</si>
  <si>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</si>
  <si>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</si>
  <si>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</si>
  <si>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</si>
  <si>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</si>
  <si>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</si>
  <si>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</si>
  <si>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</si>
  <si>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</si>
  <si>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</si>
  <si>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</si>
  <si>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J-D</t>
  </si>
  <si>
    <t>D-N</t>
  </si>
  <si>
    <t>DJF</t>
  </si>
  <si>
    <t>MAM</t>
  </si>
  <si>
    <t>JJA</t>
  </si>
  <si>
    <t>SON</t>
  </si>
  <si>
    <t>***</t>
  </si>
  <si>
    <t>Year (X)</t>
  </si>
  <si>
    <t>Temp (Y)</t>
  </si>
  <si>
    <t>y = 0.0094x - 18.369</t>
  </si>
  <si>
    <t>x=</t>
  </si>
  <si>
    <t>y = mx + b</t>
  </si>
  <si>
    <t>b is y-intercept</t>
  </si>
  <si>
    <t>m is slope</t>
  </si>
  <si>
    <t>temp</t>
  </si>
  <si>
    <t>Land-Ocean: Global Mean Temps in degrees Celsius with a baseline of 0 set back in the 1960's</t>
  </si>
  <si>
    <t xml:space="preserve">Create a "scatterplot" Chart using the Insert/Charts Menu </t>
  </si>
  <si>
    <t xml:space="preserve">Create a linear "trendline" within the "scatterplot" by clicking the + "plus" sign in the upper right of the graph </t>
  </si>
  <si>
    <t xml:space="preserve">From 2 above, click on the arrow to the right of the trendline and down below select the "display equation on chart" </t>
  </si>
  <si>
    <t>A</t>
  </si>
  <si>
    <t>B</t>
  </si>
  <si>
    <t xml:space="preserve">Create a quadratic "trendline" within the "scatterplot" by clicking the + "plus" sign in the upper right of the graph </t>
  </si>
  <si>
    <t>To the right of "trendline" there is an arrow to click and then click "more options", then select "polynomial" of order 2</t>
  </si>
  <si>
    <t xml:space="preserve">From 2 above, also select the "display equation on chart" </t>
  </si>
  <si>
    <t>Linear model for global temperatures - use the "GlobalTempLinear" tab</t>
  </si>
  <si>
    <t>Quadratic model for global temperatures - use the "GlobalTempQuad" tab</t>
  </si>
  <si>
    <t>C</t>
  </si>
  <si>
    <t>Compare parts A &amp; B above</t>
  </si>
  <si>
    <t>Which model has more error (from part 7 of A &amp; B)?</t>
  </si>
  <si>
    <t>Put the equation into cell C4, referring to the value of x in cell A4</t>
  </si>
  <si>
    <t>Observe the differences between columns B &amp; C over the years and state whether the temperatures of the linear model are accurate or not over the years - why/why not?</t>
  </si>
  <si>
    <t>Calculate the mean square error in the model (sum of squared differences between columns B &amp; C)</t>
  </si>
  <si>
    <t>What are the values for the y-intercept in each model?  Interpretation?</t>
  </si>
  <si>
    <t>What is the vertex of the quadratic model?  Interpretation?</t>
  </si>
  <si>
    <t>https://data.giss.nasa.gov/gistemp/tabledata_v4/T_AIRS/GLB.Ts+dSST.txt</t>
  </si>
  <si>
    <t>https://data.giss.nasa.gov/gistemp/</t>
  </si>
  <si>
    <t>F degrees change in 100 yrs</t>
  </si>
  <si>
    <t>F degrees change in 20 yrs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</si>
  <si>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y/Δx</t>
    </r>
  </si>
  <si>
    <t>change in y per one unit of x</t>
  </si>
  <si>
    <t>.9 change in y per 100 units of x</t>
  </si>
  <si>
    <t>Interpretation:  almost 1 degree celsius change over 100 years</t>
  </si>
  <si>
    <t>means that in year 0 (AD/BC), the temperature would have been 18 degrees less</t>
  </si>
  <si>
    <t>Model</t>
  </si>
  <si>
    <t>Error</t>
  </si>
  <si>
    <t>SSE</t>
  </si>
  <si>
    <t>Predictions in this quadratic model are better than in the linear model</t>
  </si>
  <si>
    <t>SSE is down from .51 to .19 (think of this as about 5:2, and so 2.5 better)</t>
  </si>
  <si>
    <t>Land-Ocean: Global Mean Temps in degrees Celsius with a baseline of 0 set from 1950 to 1980</t>
  </si>
  <si>
    <t>Interpretation</t>
  </si>
  <si>
    <t>Equation</t>
  </si>
  <si>
    <t>Theory</t>
  </si>
  <si>
    <t>Data/Labels</t>
  </si>
  <si>
    <t>Color-coding</t>
  </si>
  <si>
    <t>Case Study 1</t>
  </si>
  <si>
    <t>y-intercept</t>
  </si>
  <si>
    <t>vertex</t>
  </si>
  <si>
    <t>-b/2a</t>
  </si>
  <si>
    <t>a</t>
  </si>
  <si>
    <r>
      <t>y = 0.0104x</t>
    </r>
    <r>
      <rPr>
        <vertAlign val="superscript"/>
        <sz val="12"/>
        <color rgb="FF595959"/>
        <rFont val="Calibri"/>
        <family val="2"/>
        <scheme val="minor"/>
      </rPr>
      <t>2</t>
    </r>
    <r>
      <rPr>
        <sz val="12"/>
        <color rgb="FF595959"/>
        <rFont val="Calibri"/>
        <family val="2"/>
        <scheme val="minor"/>
      </rPr>
      <t xml:space="preserve"> - 0.0298x - 0.1958</t>
    </r>
  </si>
  <si>
    <t>b</t>
  </si>
  <si>
    <t xml:space="preserve">c </t>
  </si>
  <si>
    <t>between year "1" and "2", which is 1910 to 1920, note that the mean temp is going up and down at this time… model says flat</t>
  </si>
  <si>
    <t>x = 0, means that in 1900, the temp was about -.2, which is close to the actual -.08</t>
  </si>
  <si>
    <t>Observe the differences between columns B &amp; C over the years and state whether the temperatures of the quadratic model are accurate or not over the years - why/why not?</t>
  </si>
  <si>
    <t>Copy the formula in cell C4 down the column for all x values.  Also copy the formula for 2021 - 2024, note that you have to change the x-values to the right scale like the x's above</t>
  </si>
  <si>
    <t>Can you tell which model is better based on calculated values for 2021 - 2024?  Does this match up with the error in 1 above?</t>
  </si>
  <si>
    <t>Copy the formula in cell C4 down the column for all x values including 2021 - 2024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</si>
</sst>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9" formatCode="0.0000"/>
    <numFmt numFmtId="170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595959"/>
      <name val="Calibri"/>
      <family val="2"/>
      <scheme val="minor"/>
    </font>
    <font>
      <sz val="16"/>
      <color rgb="FF59595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2"/>
      <color rgb="FF595959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0">
    <xf numFmtId="0" fontId="0" fillId="0" borderId="0" xfId="0"/>
    <xf numFmtId="0" fontId="0" fillId="33" borderId="0" xfId="0" applyFill="1"/>
    <xf numFmtId="0" fontId="18" fillId="0" borderId="0" xfId="0" applyFont="1" applyAlignment="1">
      <alignment horizontal="center" vertical="center" readingOrder="1"/>
    </xf>
    <xf numFmtId="0" fontId="19" fillId="0" borderId="0" xfId="0" applyFont="1" applyAlignment="1">
      <alignment horizontal="center" vertical="center" readingOrder="1"/>
    </xf>
    <xf numFmtId="0" fontId="0" fillId="34" borderId="0" xfId="0" applyFill="1"/>
    <xf numFmtId="0" fontId="16" fillId="0" borderId="0" xfId="0" applyFont="1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20" fillId="0" borderId="0" xfId="0" applyFont="1"/>
    <xf numFmtId="0" fontId="21" fillId="0" borderId="0" xfId="0" applyFont="1"/>
    <xf numFmtId="0" fontId="0" fillId="0" borderId="0" xfId="0" applyFill="1"/>
    <xf numFmtId="0" fontId="0" fillId="35" borderId="0" xfId="0" applyFill="1"/>
    <xf numFmtId="0" fontId="16" fillId="0" borderId="0" xfId="0" applyFont="1" applyFill="1" applyAlignment="1">
      <alignment horizontal="center"/>
    </xf>
    <xf numFmtId="169" fontId="0" fillId="33" borderId="0" xfId="0" applyNumberFormat="1" applyFill="1"/>
    <xf numFmtId="169" fontId="16" fillId="33" borderId="0" xfId="0" applyNumberFormat="1" applyFont="1" applyFill="1"/>
    <xf numFmtId="0" fontId="19" fillId="35" borderId="0" xfId="0" applyFont="1" applyFill="1" applyAlignment="1">
      <alignment horizontal="center" vertical="center" readingOrder="1"/>
    </xf>
    <xf numFmtId="0" fontId="0" fillId="35" borderId="10" xfId="0" applyFill="1" applyBorder="1"/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15" xfId="0" applyFill="1" applyBorder="1"/>
    <xf numFmtId="170" fontId="0" fillId="33" borderId="0" xfId="0" applyNumberFormat="1" applyFill="1"/>
    <xf numFmtId="0" fontId="19" fillId="0" borderId="0" xfId="0" applyFont="1" applyFill="1" applyAlignment="1">
      <alignment horizontal="center" vertical="center" readingOrder="1"/>
    </xf>
    <xf numFmtId="0" fontId="0" fillId="0" borderId="11" xfId="0" applyBorder="1"/>
    <xf numFmtId="0" fontId="0" fillId="0" borderId="12" xfId="0" applyBorder="1"/>
    <xf numFmtId="0" fontId="0" fillId="34" borderId="16" xfId="0" applyFill="1" applyBorder="1"/>
    <xf numFmtId="0" fontId="0" fillId="0" borderId="17" xfId="0" applyBorder="1"/>
    <xf numFmtId="0" fontId="0" fillId="33" borderId="16" xfId="0" applyFill="1" applyBorder="1"/>
    <xf numFmtId="0" fontId="0" fillId="35" borderId="16" xfId="0" applyFill="1" applyBorder="1"/>
    <xf numFmtId="0" fontId="0" fillId="0" borderId="13" xfId="0" applyFill="1" applyBorder="1"/>
    <xf numFmtId="0" fontId="0" fillId="0" borderId="15" xfId="0" applyBorder="1"/>
    <xf numFmtId="0" fontId="16" fillId="0" borderId="10" xfId="0" applyFont="1" applyBorder="1"/>
    <xf numFmtId="0" fontId="0" fillId="34" borderId="0" xfId="0" applyFill="1" applyBorder="1"/>
    <xf numFmtId="0" fontId="0" fillId="33" borderId="0" xfId="0" applyFill="1" applyBorder="1"/>
    <xf numFmtId="0" fontId="0" fillId="35" borderId="0" xfId="0" applyFill="1" applyBorder="1"/>
    <xf numFmtId="0" fontId="0" fillId="0" borderId="14" xfId="0" applyFill="1" applyBorder="1"/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0" fillId="35" borderId="0" xfId="0" quotePrefix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GlobalTempLinearSol!$B$3</c:f>
              <c:strCache>
                <c:ptCount val="1"/>
                <c:pt idx="0">
                  <c:v>Temp (Y)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GlobalTempLinearSol!$A$4:$A$16</c:f>
              <c:numCache>
                <c:formatCode>General</c:formatCode>
                <c:ptCount val="13"/>
                <c:pt idx="0">
                  <c:v>1900</c:v>
                </c:pt>
                <c:pt idx="1">
                  <c:v>1910</c:v>
                </c:pt>
                <c:pt idx="2">
                  <c:v>1920</c:v>
                </c:pt>
                <c:pt idx="3">
                  <c:v>1930</c:v>
                </c:pt>
                <c:pt idx="4">
                  <c:v>1940</c:v>
                </c:pt>
                <c:pt idx="5">
                  <c:v>1950</c:v>
                </c:pt>
                <c:pt idx="6">
                  <c:v>1960</c:v>
                </c:pt>
                <c:pt idx="7">
                  <c:v>1970</c:v>
                </c:pt>
                <c:pt idx="8">
                  <c:v>1980</c:v>
                </c:pt>
                <c:pt idx="9">
                  <c:v>1990</c:v>
                </c:pt>
                <c:pt idx="10">
                  <c:v>2000</c:v>
                </c:pt>
                <c:pt idx="11">
                  <c:v>2010</c:v>
                </c:pt>
                <c:pt idx="12">
                  <c:v>2020</c:v>
                </c:pt>
              </c:numCache>
            </c:numRef>
          </c:xVal>
          <c:yVal>
            <c:numRef>
              <c:f>GlobalTempLinearSol!$B$4:$B$16</c:f>
              <c:numCache>
                <c:formatCode>General</c:formatCode>
                <c:ptCount val="13"/>
                <c:pt idx="0">
                  <c:v>-0.08</c:v>
                </c:pt>
                <c:pt idx="1">
                  <c:v>-0.43</c:v>
                </c:pt>
                <c:pt idx="2">
                  <c:v>-0.27</c:v>
                </c:pt>
                <c:pt idx="3">
                  <c:v>-0.15</c:v>
                </c:pt>
                <c:pt idx="4">
                  <c:v>0.13</c:v>
                </c:pt>
                <c:pt idx="5">
                  <c:v>-0.17</c:v>
                </c:pt>
                <c:pt idx="6">
                  <c:v>-0.03</c:v>
                </c:pt>
                <c:pt idx="7">
                  <c:v>0.03</c:v>
                </c:pt>
                <c:pt idx="8">
                  <c:v>0.26</c:v>
                </c:pt>
                <c:pt idx="9">
                  <c:v>0.45</c:v>
                </c:pt>
                <c:pt idx="10">
                  <c:v>0.39</c:v>
                </c:pt>
                <c:pt idx="11">
                  <c:v>0.72</c:v>
                </c:pt>
                <c:pt idx="12">
                  <c:v>1.01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30-437C-9DE4-AB157A1E8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714864"/>
        <c:axId val="539710600"/>
      </c:scatterChart>
      <c:valAx>
        <c:axId val="53971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10600"/>
        <c:crosses val="autoZero"/>
        <c:crossBetween val="midCat"/>
      </c:valAx>
      <c:valAx>
        <c:axId val="539710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1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GlobalTempQuadSol!$B$3</c:f>
              <c:strCache>
                <c:ptCount val="1"/>
                <c:pt idx="0">
                  <c:v>Temp (Y)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5.5291238142060033E-3"/>
                  <c:y val="-2.888840817974676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GlobalTempQuadSol!$A$4:$A$16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GlobalTempQuadSol!$B$4:$B$16</c:f>
              <c:numCache>
                <c:formatCode>General</c:formatCode>
                <c:ptCount val="13"/>
                <c:pt idx="0">
                  <c:v>-0.08</c:v>
                </c:pt>
                <c:pt idx="1">
                  <c:v>-0.43</c:v>
                </c:pt>
                <c:pt idx="2">
                  <c:v>-0.27</c:v>
                </c:pt>
                <c:pt idx="3">
                  <c:v>-0.15</c:v>
                </c:pt>
                <c:pt idx="4">
                  <c:v>0.13</c:v>
                </c:pt>
                <c:pt idx="5">
                  <c:v>-0.17</c:v>
                </c:pt>
                <c:pt idx="6">
                  <c:v>-0.03</c:v>
                </c:pt>
                <c:pt idx="7">
                  <c:v>0.03</c:v>
                </c:pt>
                <c:pt idx="8">
                  <c:v>0.26</c:v>
                </c:pt>
                <c:pt idx="9">
                  <c:v>0.45</c:v>
                </c:pt>
                <c:pt idx="10">
                  <c:v>0.39</c:v>
                </c:pt>
                <c:pt idx="11">
                  <c:v>0.72</c:v>
                </c:pt>
                <c:pt idx="12">
                  <c:v>1.01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C2-4C9A-A5F4-9B0E7EE4A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714864"/>
        <c:axId val="539710600"/>
      </c:scatterChart>
      <c:valAx>
        <c:axId val="53971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10600"/>
        <c:crosses val="autoZero"/>
        <c:crossBetween val="midCat"/>
      </c:valAx>
      <c:valAx>
        <c:axId val="539710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1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1</xdr:row>
      <xdr:rowOff>152400</xdr:rowOff>
    </xdr:from>
    <xdr:to>
      <xdr:col>20</xdr:col>
      <xdr:colOff>60960</xdr:colOff>
      <xdr:row>20</xdr:row>
      <xdr:rowOff>144780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2</xdr:row>
      <xdr:rowOff>22860</xdr:rowOff>
    </xdr:from>
    <xdr:to>
      <xdr:col>17</xdr:col>
      <xdr:colOff>373380</xdr:colOff>
      <xdr:row>21</xdr:row>
      <xdr:rowOff>15240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E32"/>
  <sheetViews>
    <sheetView tabSelected="1" workbookViewId="0">
      <selection activeCell="B15" sqref="B15"/>
    </sheetView>
  </sheetViews>
  <sheetFormatPr defaultRowHeight="14.4" x14ac:dyDescent="0.3"/>
  <cols>
    <col min="1" max="1" width="12.77734375" style="6" customWidth="1"/>
    <col min="4" max="4" width="12.5546875" customWidth="1"/>
  </cols>
  <sheetData>
    <row r="1" spans="1:5" x14ac:dyDescent="0.3">
      <c r="A1" s="7" t="s">
        <v>68</v>
      </c>
    </row>
    <row r="2" spans="1:5" ht="15" thickBot="1" x14ac:dyDescent="0.35"/>
    <row r="3" spans="1:5" x14ac:dyDescent="0.3">
      <c r="C3" s="32" t="s">
        <v>67</v>
      </c>
      <c r="D3" s="24"/>
      <c r="E3" s="25"/>
    </row>
    <row r="4" spans="1:5" x14ac:dyDescent="0.3">
      <c r="C4" s="26"/>
      <c r="D4" s="33" t="s">
        <v>63</v>
      </c>
      <c r="E4" s="27"/>
    </row>
    <row r="5" spans="1:5" x14ac:dyDescent="0.3">
      <c r="C5" s="28"/>
      <c r="D5" s="34" t="s">
        <v>64</v>
      </c>
      <c r="E5" s="27"/>
    </row>
    <row r="6" spans="1:5" x14ac:dyDescent="0.3">
      <c r="C6" s="29"/>
      <c r="D6" s="35" t="s">
        <v>65</v>
      </c>
      <c r="E6" s="27"/>
    </row>
    <row r="7" spans="1:5" ht="15" thickBot="1" x14ac:dyDescent="0.35">
      <c r="C7" s="30"/>
      <c r="D7" s="36" t="s">
        <v>66</v>
      </c>
      <c r="E7" s="31"/>
    </row>
    <row r="8" spans="1:5" x14ac:dyDescent="0.3">
      <c r="C8" s="10"/>
    </row>
    <row r="9" spans="1:5" ht="15.6" x14ac:dyDescent="0.3">
      <c r="A9" s="37" t="s">
        <v>33</v>
      </c>
      <c r="B9" s="8" t="s">
        <v>38</v>
      </c>
      <c r="C9" s="9"/>
    </row>
    <row r="10" spans="1:5" ht="15.6" x14ac:dyDescent="0.3">
      <c r="A10" s="38">
        <v>1</v>
      </c>
      <c r="B10" s="9" t="s">
        <v>30</v>
      </c>
      <c r="C10" s="9"/>
    </row>
    <row r="11" spans="1:5" ht="15.6" x14ac:dyDescent="0.3">
      <c r="A11" s="38">
        <v>2</v>
      </c>
      <c r="B11" s="9" t="s">
        <v>31</v>
      </c>
      <c r="C11" s="9"/>
    </row>
    <row r="12" spans="1:5" ht="15.6" x14ac:dyDescent="0.3">
      <c r="A12" s="38">
        <v>3</v>
      </c>
      <c r="B12" s="9" t="s">
        <v>32</v>
      </c>
      <c r="C12" s="9"/>
    </row>
    <row r="13" spans="1:5" ht="15.6" x14ac:dyDescent="0.3">
      <c r="A13" s="38">
        <v>4</v>
      </c>
      <c r="B13" s="9" t="s">
        <v>43</v>
      </c>
      <c r="C13" s="9"/>
    </row>
    <row r="14" spans="1:5" ht="15.6" x14ac:dyDescent="0.3">
      <c r="A14" s="38">
        <v>5</v>
      </c>
      <c r="B14" s="9" t="s">
        <v>81</v>
      </c>
      <c r="C14" s="9"/>
    </row>
    <row r="15" spans="1:5" ht="15.6" x14ac:dyDescent="0.3">
      <c r="A15" s="38">
        <v>6</v>
      </c>
      <c r="B15" s="9" t="s">
        <v>44</v>
      </c>
      <c r="C15" s="9"/>
    </row>
    <row r="16" spans="1:5" ht="15.6" x14ac:dyDescent="0.3">
      <c r="A16" s="38">
        <v>7</v>
      </c>
      <c r="B16" s="9" t="s">
        <v>45</v>
      </c>
      <c r="C16" s="9"/>
    </row>
    <row r="17" spans="1:3" ht="15.6" x14ac:dyDescent="0.3">
      <c r="A17" s="38"/>
      <c r="B17" s="9"/>
      <c r="C17" s="9"/>
    </row>
    <row r="18" spans="1:3" ht="15.6" x14ac:dyDescent="0.3">
      <c r="A18" s="37" t="s">
        <v>34</v>
      </c>
      <c r="B18" s="8" t="s">
        <v>39</v>
      </c>
      <c r="C18" s="9"/>
    </row>
    <row r="19" spans="1:3" ht="15.6" x14ac:dyDescent="0.3">
      <c r="A19" s="38">
        <v>1</v>
      </c>
      <c r="B19" s="9" t="s">
        <v>30</v>
      </c>
      <c r="C19" s="9"/>
    </row>
    <row r="20" spans="1:3" ht="15.6" x14ac:dyDescent="0.3">
      <c r="A20" s="38">
        <v>2</v>
      </c>
      <c r="B20" s="9" t="s">
        <v>35</v>
      </c>
      <c r="C20" s="9"/>
    </row>
    <row r="21" spans="1:3" ht="15.6" x14ac:dyDescent="0.3">
      <c r="A21" s="38"/>
      <c r="B21" s="9" t="s">
        <v>36</v>
      </c>
      <c r="C21" s="9"/>
    </row>
    <row r="22" spans="1:3" ht="15.6" x14ac:dyDescent="0.3">
      <c r="A22" s="38">
        <v>3</v>
      </c>
      <c r="B22" s="9" t="s">
        <v>37</v>
      </c>
      <c r="C22" s="9"/>
    </row>
    <row r="23" spans="1:3" ht="15.6" x14ac:dyDescent="0.3">
      <c r="A23" s="38">
        <v>4</v>
      </c>
      <c r="B23" s="9" t="s">
        <v>43</v>
      </c>
      <c r="C23" s="9"/>
    </row>
    <row r="24" spans="1:3" ht="15.6" x14ac:dyDescent="0.3">
      <c r="A24" s="38">
        <v>5</v>
      </c>
      <c r="B24" s="9" t="s">
        <v>79</v>
      </c>
      <c r="C24" s="9"/>
    </row>
    <row r="25" spans="1:3" ht="15.6" x14ac:dyDescent="0.3">
      <c r="A25" s="38">
        <v>6</v>
      </c>
      <c r="B25" s="9" t="s">
        <v>78</v>
      </c>
      <c r="C25" s="9"/>
    </row>
    <row r="26" spans="1:3" ht="15.6" x14ac:dyDescent="0.3">
      <c r="A26" s="38">
        <v>7</v>
      </c>
      <c r="B26" s="9" t="s">
        <v>45</v>
      </c>
      <c r="C26" s="9"/>
    </row>
    <row r="27" spans="1:3" ht="15.6" x14ac:dyDescent="0.3">
      <c r="A27" s="38"/>
      <c r="B27" s="9"/>
      <c r="C27" s="9"/>
    </row>
    <row r="28" spans="1:3" ht="15.6" x14ac:dyDescent="0.3">
      <c r="A28" s="37" t="s">
        <v>40</v>
      </c>
      <c r="B28" s="8" t="s">
        <v>41</v>
      </c>
      <c r="C28" s="8"/>
    </row>
    <row r="29" spans="1:3" ht="15.6" x14ac:dyDescent="0.3">
      <c r="A29" s="38">
        <v>1</v>
      </c>
      <c r="B29" s="9" t="s">
        <v>42</v>
      </c>
      <c r="C29" s="9"/>
    </row>
    <row r="30" spans="1:3" ht="15.6" x14ac:dyDescent="0.3">
      <c r="A30" s="38">
        <v>2</v>
      </c>
      <c r="B30" s="9" t="s">
        <v>80</v>
      </c>
      <c r="C30" s="9"/>
    </row>
    <row r="31" spans="1:3" ht="15.6" x14ac:dyDescent="0.3">
      <c r="A31" s="38">
        <v>3</v>
      </c>
      <c r="B31" s="9" t="s">
        <v>46</v>
      </c>
      <c r="C31" s="9"/>
    </row>
    <row r="32" spans="1:3" ht="15.6" x14ac:dyDescent="0.3">
      <c r="A32" s="38">
        <v>4</v>
      </c>
      <c r="B32" s="9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7"/>
  <sheetViews>
    <sheetView workbookViewId="0">
      <selection activeCell="H15" sqref="H15"/>
    </sheetView>
  </sheetViews>
  <sheetFormatPr defaultRowHeight="14.4" x14ac:dyDescent="0.3"/>
  <cols>
    <col min="1" max="1" width="15.109375" customWidth="1"/>
    <col min="2" max="2" width="15.5546875" style="1" customWidth="1"/>
  </cols>
  <sheetData>
    <row r="1" spans="1:4" x14ac:dyDescent="0.3">
      <c r="A1" s="5" t="s">
        <v>62</v>
      </c>
      <c r="B1" s="10"/>
    </row>
    <row r="2" spans="1:4" x14ac:dyDescent="0.3">
      <c r="A2" s="5"/>
      <c r="B2" s="10"/>
    </row>
    <row r="3" spans="1:4" x14ac:dyDescent="0.3">
      <c r="A3" s="7" t="s">
        <v>21</v>
      </c>
      <c r="B3" s="12" t="s">
        <v>22</v>
      </c>
      <c r="C3" s="7" t="s">
        <v>57</v>
      </c>
      <c r="D3" s="7" t="s">
        <v>58</v>
      </c>
    </row>
    <row r="4" spans="1:4" x14ac:dyDescent="0.3">
      <c r="A4">
        <v>1900</v>
      </c>
      <c r="B4" s="10">
        <v>-0.08</v>
      </c>
    </row>
    <row r="5" spans="1:4" x14ac:dyDescent="0.3">
      <c r="A5">
        <v>1910</v>
      </c>
      <c r="B5" s="10">
        <v>-0.43</v>
      </c>
    </row>
    <row r="6" spans="1:4" x14ac:dyDescent="0.3">
      <c r="A6">
        <v>1920</v>
      </c>
      <c r="B6" s="10">
        <v>-0.27</v>
      </c>
    </row>
    <row r="7" spans="1:4" x14ac:dyDescent="0.3">
      <c r="A7">
        <v>1930</v>
      </c>
      <c r="B7" s="10">
        <v>-0.15</v>
      </c>
    </row>
    <row r="8" spans="1:4" x14ac:dyDescent="0.3">
      <c r="A8">
        <v>1940</v>
      </c>
      <c r="B8" s="10">
        <v>0.13</v>
      </c>
    </row>
    <row r="9" spans="1:4" x14ac:dyDescent="0.3">
      <c r="A9">
        <v>1950</v>
      </c>
      <c r="B9" s="10">
        <v>-0.17</v>
      </c>
    </row>
    <row r="10" spans="1:4" x14ac:dyDescent="0.3">
      <c r="A10">
        <v>1960</v>
      </c>
      <c r="B10" s="10">
        <v>-0.03</v>
      </c>
    </row>
    <row r="11" spans="1:4" x14ac:dyDescent="0.3">
      <c r="A11">
        <v>1970</v>
      </c>
      <c r="B11" s="10">
        <v>0.03</v>
      </c>
    </row>
    <row r="12" spans="1:4" x14ac:dyDescent="0.3">
      <c r="A12">
        <v>1980</v>
      </c>
      <c r="B12" s="10">
        <v>0.26</v>
      </c>
    </row>
    <row r="13" spans="1:4" x14ac:dyDescent="0.3">
      <c r="A13">
        <v>1990</v>
      </c>
      <c r="B13" s="10">
        <v>0.45</v>
      </c>
    </row>
    <row r="14" spans="1:4" x14ac:dyDescent="0.3">
      <c r="A14">
        <v>2000</v>
      </c>
      <c r="B14" s="10">
        <v>0.39</v>
      </c>
    </row>
    <row r="15" spans="1:4" x14ac:dyDescent="0.3">
      <c r="A15">
        <v>2010</v>
      </c>
      <c r="B15" s="10">
        <v>0.72</v>
      </c>
    </row>
    <row r="16" spans="1:4" x14ac:dyDescent="0.3">
      <c r="A16">
        <v>2020</v>
      </c>
      <c r="B16" s="10">
        <v>1.01</v>
      </c>
    </row>
    <row r="17" spans="1:4" x14ac:dyDescent="0.3">
      <c r="B17" s="10"/>
    </row>
    <row r="18" spans="1:4" x14ac:dyDescent="0.3">
      <c r="B18" s="10"/>
    </row>
    <row r="19" spans="1:4" x14ac:dyDescent="0.3">
      <c r="B19" s="10"/>
    </row>
    <row r="20" spans="1:4" x14ac:dyDescent="0.3">
      <c r="A20">
        <v>2021</v>
      </c>
      <c r="B20" s="10">
        <v>0.84</v>
      </c>
    </row>
    <row r="21" spans="1:4" x14ac:dyDescent="0.3">
      <c r="A21">
        <v>2022</v>
      </c>
      <c r="B21" s="10">
        <v>0.89</v>
      </c>
    </row>
    <row r="22" spans="1:4" x14ac:dyDescent="0.3">
      <c r="A22">
        <v>2023</v>
      </c>
      <c r="B22" s="10"/>
    </row>
    <row r="23" spans="1:4" x14ac:dyDescent="0.3">
      <c r="A23">
        <v>2024</v>
      </c>
      <c r="B23" s="10"/>
    </row>
    <row r="24" spans="1:4" ht="21" x14ac:dyDescent="0.3">
      <c r="B24" s="10"/>
      <c r="D24" s="3"/>
    </row>
    <row r="25" spans="1:4" x14ac:dyDescent="0.3">
      <c r="B25" s="10"/>
    </row>
    <row r="26" spans="1:4" x14ac:dyDescent="0.3">
      <c r="B26" s="10"/>
    </row>
    <row r="27" spans="1:4" x14ac:dyDescent="0.3">
      <c r="B27" s="10"/>
    </row>
    <row r="28" spans="1:4" x14ac:dyDescent="0.3">
      <c r="B28" s="10"/>
    </row>
    <row r="29" spans="1:4" x14ac:dyDescent="0.3">
      <c r="B29" s="10"/>
    </row>
    <row r="30" spans="1:4" x14ac:dyDescent="0.3">
      <c r="B30" s="10"/>
    </row>
    <row r="31" spans="1:4" x14ac:dyDescent="0.3">
      <c r="B31" s="10"/>
    </row>
    <row r="32" spans="1:4" x14ac:dyDescent="0.3">
      <c r="B32" s="10"/>
    </row>
    <row r="33" spans="2:2" x14ac:dyDescent="0.3">
      <c r="B33" s="10"/>
    </row>
    <row r="34" spans="2:2" x14ac:dyDescent="0.3">
      <c r="B34" s="10"/>
    </row>
    <row r="35" spans="2:2" x14ac:dyDescent="0.3">
      <c r="B35" s="10"/>
    </row>
    <row r="36" spans="2:2" x14ac:dyDescent="0.3">
      <c r="B36" s="10"/>
    </row>
    <row r="37" spans="2:2" x14ac:dyDescent="0.3">
      <c r="B37" s="10"/>
    </row>
    <row r="38" spans="2:2" x14ac:dyDescent="0.3">
      <c r="B38" s="10"/>
    </row>
    <row r="39" spans="2:2" x14ac:dyDescent="0.3">
      <c r="B39" s="10"/>
    </row>
    <row r="40" spans="2:2" x14ac:dyDescent="0.3">
      <c r="B40" s="10"/>
    </row>
    <row r="41" spans="2:2" x14ac:dyDescent="0.3">
      <c r="B41" s="10"/>
    </row>
    <row r="42" spans="2:2" x14ac:dyDescent="0.3">
      <c r="B42" s="10"/>
    </row>
    <row r="43" spans="2:2" x14ac:dyDescent="0.3">
      <c r="B43" s="10"/>
    </row>
    <row r="44" spans="2:2" x14ac:dyDescent="0.3">
      <c r="B44" s="10"/>
    </row>
    <row r="45" spans="2:2" x14ac:dyDescent="0.3">
      <c r="B45" s="10"/>
    </row>
    <row r="46" spans="2:2" x14ac:dyDescent="0.3">
      <c r="B46" s="10"/>
    </row>
    <row r="47" spans="2:2" x14ac:dyDescent="0.3">
      <c r="B47" s="10"/>
    </row>
    <row r="48" spans="2:2" x14ac:dyDescent="0.3">
      <c r="B48" s="10"/>
    </row>
    <row r="49" spans="2:2" x14ac:dyDescent="0.3">
      <c r="B49" s="10"/>
    </row>
    <row r="50" spans="2:2" x14ac:dyDescent="0.3">
      <c r="B50" s="10"/>
    </row>
    <row r="51" spans="2:2" x14ac:dyDescent="0.3">
      <c r="B51" s="10"/>
    </row>
    <row r="52" spans="2:2" x14ac:dyDescent="0.3">
      <c r="B52" s="10"/>
    </row>
    <row r="53" spans="2:2" x14ac:dyDescent="0.3">
      <c r="B53" s="10"/>
    </row>
    <row r="54" spans="2:2" x14ac:dyDescent="0.3">
      <c r="B54" s="10"/>
    </row>
    <row r="55" spans="2:2" x14ac:dyDescent="0.3">
      <c r="B55" s="10"/>
    </row>
    <row r="56" spans="2:2" x14ac:dyDescent="0.3">
      <c r="B56" s="10"/>
    </row>
    <row r="57" spans="2:2" x14ac:dyDescent="0.3">
      <c r="B57" s="10"/>
    </row>
    <row r="58" spans="2:2" x14ac:dyDescent="0.3">
      <c r="B58" s="10"/>
    </row>
    <row r="59" spans="2:2" x14ac:dyDescent="0.3">
      <c r="B59" s="10"/>
    </row>
    <row r="60" spans="2:2" x14ac:dyDescent="0.3">
      <c r="B60" s="10"/>
    </row>
    <row r="61" spans="2:2" x14ac:dyDescent="0.3">
      <c r="B61" s="10"/>
    </row>
    <row r="62" spans="2:2" x14ac:dyDescent="0.3">
      <c r="B62" s="10"/>
    </row>
    <row r="63" spans="2:2" x14ac:dyDescent="0.3">
      <c r="B63" s="10"/>
    </row>
    <row r="64" spans="2:2" x14ac:dyDescent="0.3">
      <c r="B64" s="10"/>
    </row>
    <row r="65" spans="2:2" x14ac:dyDescent="0.3">
      <c r="B65" s="10"/>
    </row>
    <row r="66" spans="2:2" x14ac:dyDescent="0.3">
      <c r="B66" s="10"/>
    </row>
    <row r="67" spans="2:2" x14ac:dyDescent="0.3">
      <c r="B67" s="10"/>
    </row>
    <row r="68" spans="2:2" x14ac:dyDescent="0.3">
      <c r="B68" s="10"/>
    </row>
    <row r="69" spans="2:2" x14ac:dyDescent="0.3">
      <c r="B69" s="10"/>
    </row>
    <row r="70" spans="2:2" x14ac:dyDescent="0.3">
      <c r="B70" s="10"/>
    </row>
    <row r="71" spans="2:2" x14ac:dyDescent="0.3">
      <c r="B71" s="10"/>
    </row>
    <row r="72" spans="2:2" x14ac:dyDescent="0.3">
      <c r="B72" s="10"/>
    </row>
    <row r="73" spans="2:2" x14ac:dyDescent="0.3">
      <c r="B73" s="10"/>
    </row>
    <row r="74" spans="2:2" x14ac:dyDescent="0.3">
      <c r="B74" s="10"/>
    </row>
    <row r="75" spans="2:2" x14ac:dyDescent="0.3">
      <c r="B75" s="10"/>
    </row>
    <row r="76" spans="2:2" x14ac:dyDescent="0.3">
      <c r="B76" s="10"/>
    </row>
    <row r="77" spans="2:2" x14ac:dyDescent="0.3">
      <c r="B77" s="10"/>
    </row>
    <row r="78" spans="2:2" x14ac:dyDescent="0.3">
      <c r="B78" s="10"/>
    </row>
    <row r="79" spans="2:2" x14ac:dyDescent="0.3">
      <c r="B79" s="10"/>
    </row>
    <row r="80" spans="2:2" x14ac:dyDescent="0.3">
      <c r="B80" s="10"/>
    </row>
    <row r="81" spans="2:2" x14ac:dyDescent="0.3">
      <c r="B81" s="10"/>
    </row>
    <row r="82" spans="2:2" x14ac:dyDescent="0.3">
      <c r="B82" s="10"/>
    </row>
    <row r="83" spans="2:2" x14ac:dyDescent="0.3">
      <c r="B83" s="10"/>
    </row>
    <row r="84" spans="2:2" x14ac:dyDescent="0.3">
      <c r="B84" s="10"/>
    </row>
    <row r="85" spans="2:2" x14ac:dyDescent="0.3">
      <c r="B85" s="10"/>
    </row>
    <row r="86" spans="2:2" x14ac:dyDescent="0.3">
      <c r="B86" s="10"/>
    </row>
    <row r="87" spans="2:2" x14ac:dyDescent="0.3">
      <c r="B87" s="10"/>
    </row>
    <row r="88" spans="2:2" x14ac:dyDescent="0.3">
      <c r="B88" s="10"/>
    </row>
    <row r="89" spans="2:2" x14ac:dyDescent="0.3">
      <c r="B89" s="10"/>
    </row>
    <row r="90" spans="2:2" x14ac:dyDescent="0.3">
      <c r="B90" s="10"/>
    </row>
    <row r="91" spans="2:2" x14ac:dyDescent="0.3">
      <c r="B91" s="10"/>
    </row>
    <row r="92" spans="2:2" x14ac:dyDescent="0.3">
      <c r="B92" s="10"/>
    </row>
    <row r="93" spans="2:2" x14ac:dyDescent="0.3">
      <c r="B93" s="10"/>
    </row>
    <row r="94" spans="2:2" x14ac:dyDescent="0.3">
      <c r="B94" s="10"/>
    </row>
    <row r="95" spans="2:2" x14ac:dyDescent="0.3">
      <c r="B95" s="10"/>
    </row>
    <row r="96" spans="2:2" x14ac:dyDescent="0.3">
      <c r="B96" s="10"/>
    </row>
    <row r="97" spans="2:2" x14ac:dyDescent="0.3">
      <c r="B97" s="10"/>
    </row>
    <row r="98" spans="2:2" x14ac:dyDescent="0.3">
      <c r="B98" s="10"/>
    </row>
    <row r="99" spans="2:2" x14ac:dyDescent="0.3">
      <c r="B99" s="10"/>
    </row>
    <row r="100" spans="2:2" x14ac:dyDescent="0.3">
      <c r="B100" s="10"/>
    </row>
    <row r="101" spans="2:2" x14ac:dyDescent="0.3">
      <c r="B101" s="10"/>
    </row>
    <row r="102" spans="2:2" x14ac:dyDescent="0.3">
      <c r="B102" s="10"/>
    </row>
    <row r="103" spans="2:2" x14ac:dyDescent="0.3">
      <c r="B103" s="10"/>
    </row>
    <row r="104" spans="2:2" x14ac:dyDescent="0.3">
      <c r="B104" s="10"/>
    </row>
    <row r="105" spans="2:2" x14ac:dyDescent="0.3">
      <c r="B105" s="10"/>
    </row>
    <row r="106" spans="2:2" x14ac:dyDescent="0.3">
      <c r="B106" s="10"/>
    </row>
    <row r="107" spans="2:2" x14ac:dyDescent="0.3">
      <c r="B107" s="10"/>
    </row>
    <row r="108" spans="2:2" x14ac:dyDescent="0.3">
      <c r="B108" s="10"/>
    </row>
    <row r="109" spans="2:2" x14ac:dyDescent="0.3">
      <c r="B109" s="10"/>
    </row>
    <row r="110" spans="2:2" x14ac:dyDescent="0.3">
      <c r="B110" s="10"/>
    </row>
    <row r="111" spans="2:2" x14ac:dyDescent="0.3">
      <c r="B111" s="10"/>
    </row>
    <row r="112" spans="2:2" x14ac:dyDescent="0.3">
      <c r="B112" s="10"/>
    </row>
    <row r="113" spans="2:2" x14ac:dyDescent="0.3">
      <c r="B113" s="10"/>
    </row>
    <row r="114" spans="2:2" x14ac:dyDescent="0.3">
      <c r="B114" s="10"/>
    </row>
    <row r="115" spans="2:2" x14ac:dyDescent="0.3">
      <c r="B115" s="10"/>
    </row>
    <row r="116" spans="2:2" x14ac:dyDescent="0.3">
      <c r="B116" s="10"/>
    </row>
    <row r="117" spans="2:2" x14ac:dyDescent="0.3">
      <c r="B117" s="10"/>
    </row>
    <row r="118" spans="2:2" x14ac:dyDescent="0.3">
      <c r="B118" s="10"/>
    </row>
    <row r="119" spans="2:2" x14ac:dyDescent="0.3">
      <c r="B119" s="10"/>
    </row>
    <row r="120" spans="2:2" x14ac:dyDescent="0.3">
      <c r="B120" s="10"/>
    </row>
    <row r="121" spans="2:2" x14ac:dyDescent="0.3">
      <c r="B121" s="10"/>
    </row>
    <row r="122" spans="2:2" x14ac:dyDescent="0.3">
      <c r="B122" s="10"/>
    </row>
    <row r="123" spans="2:2" x14ac:dyDescent="0.3">
      <c r="B123" s="10"/>
    </row>
    <row r="124" spans="2:2" x14ac:dyDescent="0.3">
      <c r="B124" s="10"/>
    </row>
    <row r="125" spans="2:2" x14ac:dyDescent="0.3">
      <c r="B125" s="10"/>
    </row>
    <row r="126" spans="2:2" x14ac:dyDescent="0.3">
      <c r="B126" s="10"/>
    </row>
    <row r="127" spans="2:2" x14ac:dyDescent="0.3">
      <c r="B127" s="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S119"/>
  <sheetViews>
    <sheetView workbookViewId="0">
      <selection activeCell="E14" sqref="E14"/>
    </sheetView>
  </sheetViews>
  <sheetFormatPr defaultRowHeight="14.4" x14ac:dyDescent="0.3"/>
  <cols>
    <col min="1" max="1" width="15.109375" customWidth="1"/>
    <col min="2" max="2" width="15.5546875" style="1" customWidth="1"/>
  </cols>
  <sheetData>
    <row r="1" spans="1:8" x14ac:dyDescent="0.3">
      <c r="A1" s="5" t="s">
        <v>29</v>
      </c>
      <c r="B1" s="10"/>
    </row>
    <row r="2" spans="1:8" x14ac:dyDescent="0.3">
      <c r="A2" s="5"/>
      <c r="B2" s="10"/>
    </row>
    <row r="3" spans="1:8" s="6" customFormat="1" x14ac:dyDescent="0.3">
      <c r="A3" s="7" t="s">
        <v>21</v>
      </c>
      <c r="B3" s="12" t="s">
        <v>22</v>
      </c>
      <c r="C3" s="7" t="s">
        <v>57</v>
      </c>
      <c r="D3" s="7" t="s">
        <v>58</v>
      </c>
    </row>
    <row r="4" spans="1:8" x14ac:dyDescent="0.3">
      <c r="A4">
        <v>1900</v>
      </c>
      <c r="B4" s="10">
        <v>-0.08</v>
      </c>
      <c r="C4" s="1">
        <f t="shared" ref="C4:C15" si="0">A4*0.0094-18.369</f>
        <v>-0.50900000000000034</v>
      </c>
      <c r="D4" s="13">
        <f>(B4-C4)^2</f>
        <v>0.18404100000000029</v>
      </c>
    </row>
    <row r="5" spans="1:8" x14ac:dyDescent="0.3">
      <c r="A5">
        <v>1910</v>
      </c>
      <c r="B5" s="10">
        <v>-0.43</v>
      </c>
      <c r="C5" s="1">
        <f t="shared" si="0"/>
        <v>-0.41499999999999915</v>
      </c>
      <c r="D5" s="13">
        <f t="shared" ref="D5:D16" si="1">(B5-C5)^2</f>
        <v>2.2500000000002539E-4</v>
      </c>
    </row>
    <row r="6" spans="1:8" x14ac:dyDescent="0.3">
      <c r="A6">
        <v>1920</v>
      </c>
      <c r="B6" s="10">
        <v>-0.27</v>
      </c>
      <c r="C6" s="1">
        <f t="shared" si="0"/>
        <v>-0.32099999999999795</v>
      </c>
      <c r="D6" s="13">
        <f t="shared" si="1"/>
        <v>2.6009999999997892E-3</v>
      </c>
    </row>
    <row r="7" spans="1:8" x14ac:dyDescent="0.3">
      <c r="A7">
        <v>1930</v>
      </c>
      <c r="B7" s="10">
        <v>-0.15</v>
      </c>
      <c r="C7" s="1">
        <f t="shared" si="0"/>
        <v>-0.22700000000000031</v>
      </c>
      <c r="D7" s="13">
        <f t="shared" si="1"/>
        <v>5.9290000000000488E-3</v>
      </c>
    </row>
    <row r="8" spans="1:8" x14ac:dyDescent="0.3">
      <c r="A8">
        <v>1940</v>
      </c>
      <c r="B8" s="10">
        <v>0.13</v>
      </c>
      <c r="C8" s="1">
        <f t="shared" si="0"/>
        <v>-0.13299999999999912</v>
      </c>
      <c r="D8" s="13">
        <f t="shared" si="1"/>
        <v>6.9168999999999536E-2</v>
      </c>
    </row>
    <row r="9" spans="1:8" x14ac:dyDescent="0.3">
      <c r="A9">
        <v>1950</v>
      </c>
      <c r="B9" s="10">
        <v>-0.17</v>
      </c>
      <c r="C9" s="1">
        <f t="shared" si="0"/>
        <v>-3.8999999999997925E-2</v>
      </c>
      <c r="D9" s="13">
        <f t="shared" si="1"/>
        <v>1.7161000000000547E-2</v>
      </c>
    </row>
    <row r="10" spans="1:8" x14ac:dyDescent="0.3">
      <c r="A10">
        <v>1960</v>
      </c>
      <c r="B10" s="10">
        <v>-0.03</v>
      </c>
      <c r="C10" s="1">
        <f t="shared" si="0"/>
        <v>5.4999999999999716E-2</v>
      </c>
      <c r="D10" s="13">
        <f t="shared" si="1"/>
        <v>7.2249999999999511E-3</v>
      </c>
    </row>
    <row r="11" spans="1:8" x14ac:dyDescent="0.3">
      <c r="A11">
        <v>1970</v>
      </c>
      <c r="B11" s="10">
        <v>0.03</v>
      </c>
      <c r="C11" s="1">
        <f t="shared" si="0"/>
        <v>0.14900000000000091</v>
      </c>
      <c r="D11" s="13">
        <f t="shared" si="1"/>
        <v>1.4161000000000217E-2</v>
      </c>
    </row>
    <row r="12" spans="1:8" x14ac:dyDescent="0.3">
      <c r="A12">
        <v>1980</v>
      </c>
      <c r="B12" s="10">
        <v>0.26</v>
      </c>
      <c r="C12" s="1">
        <f t="shared" si="0"/>
        <v>0.2430000000000021</v>
      </c>
      <c r="D12" s="13">
        <f t="shared" si="1"/>
        <v>2.889999999999288E-4</v>
      </c>
    </row>
    <row r="13" spans="1:8" x14ac:dyDescent="0.3">
      <c r="A13">
        <v>1990</v>
      </c>
      <c r="B13" s="10">
        <v>0.45</v>
      </c>
      <c r="C13" s="1">
        <f t="shared" si="0"/>
        <v>0.33699999999999974</v>
      </c>
      <c r="D13" s="13">
        <f t="shared" si="1"/>
        <v>1.276900000000006E-2</v>
      </c>
    </row>
    <row r="14" spans="1:8" x14ac:dyDescent="0.3">
      <c r="A14">
        <v>2000</v>
      </c>
      <c r="B14" s="10">
        <v>0.39</v>
      </c>
      <c r="C14" s="1">
        <f t="shared" si="0"/>
        <v>0.43100000000000094</v>
      </c>
      <c r="D14" s="13">
        <f t="shared" si="1"/>
        <v>1.6810000000000759E-3</v>
      </c>
      <c r="E14" s="4">
        <f>(9/5)*(GlobalTempLinear!B14-GlobalTempLinear!B4)</f>
        <v>0.84600000000000009</v>
      </c>
      <c r="F14" s="4" t="s">
        <v>50</v>
      </c>
      <c r="G14" s="4"/>
      <c r="H14" s="4"/>
    </row>
    <row r="15" spans="1:8" x14ac:dyDescent="0.3">
      <c r="A15">
        <v>2010</v>
      </c>
      <c r="B15" s="10">
        <v>0.72</v>
      </c>
      <c r="C15" s="1">
        <f t="shared" si="0"/>
        <v>0.52500000000000213</v>
      </c>
      <c r="D15" s="13">
        <f t="shared" si="1"/>
        <v>3.8024999999999157E-2</v>
      </c>
      <c r="E15" s="4"/>
      <c r="F15" s="4"/>
      <c r="G15" s="4"/>
      <c r="H15" s="4"/>
    </row>
    <row r="16" spans="1:8" x14ac:dyDescent="0.3">
      <c r="A16">
        <v>2020</v>
      </c>
      <c r="B16" s="10">
        <v>1.01</v>
      </c>
      <c r="C16" s="1">
        <f>A16*0.0094-18.369</f>
        <v>0.61899999999999977</v>
      </c>
      <c r="D16" s="13">
        <f t="shared" si="1"/>
        <v>0.15288100000000018</v>
      </c>
      <c r="E16" s="4">
        <f>(9/5)*(GlobalTempLinear!B16-GlobalTempLinear!B14)</f>
        <v>1.1160000000000001</v>
      </c>
      <c r="F16" s="4" t="s">
        <v>51</v>
      </c>
      <c r="G16" s="4"/>
      <c r="H16" s="4"/>
    </row>
    <row r="17" spans="1:19" x14ac:dyDescent="0.3">
      <c r="B17" s="10"/>
      <c r="D17" s="14">
        <f>SUM(D4:D16)</f>
        <v>0.50615699999999975</v>
      </c>
      <c r="E17" s="5" t="s">
        <v>59</v>
      </c>
    </row>
    <row r="18" spans="1:19" x14ac:dyDescent="0.3">
      <c r="B18" s="10"/>
    </row>
    <row r="19" spans="1:19" x14ac:dyDescent="0.3">
      <c r="B19" s="10"/>
    </row>
    <row r="20" spans="1:19" x14ac:dyDescent="0.3">
      <c r="A20">
        <v>2021</v>
      </c>
      <c r="B20" s="10">
        <v>0.84</v>
      </c>
      <c r="C20" s="1">
        <f>A20*0.0094-18.369</f>
        <v>0.62840000000000273</v>
      </c>
    </row>
    <row r="21" spans="1:19" x14ac:dyDescent="0.3">
      <c r="A21">
        <v>2022</v>
      </c>
      <c r="B21" s="10">
        <v>0.89</v>
      </c>
      <c r="C21" s="1">
        <f>A21*0.0094-18.369</f>
        <v>0.63780000000000214</v>
      </c>
    </row>
    <row r="22" spans="1:19" x14ac:dyDescent="0.3">
      <c r="A22">
        <v>2023</v>
      </c>
      <c r="B22" s="10"/>
      <c r="C22" s="1">
        <f>A22*0.0094-18.369</f>
        <v>0.64720000000000155</v>
      </c>
    </row>
    <row r="23" spans="1:19" x14ac:dyDescent="0.3">
      <c r="A23">
        <v>2024</v>
      </c>
      <c r="B23" s="10"/>
      <c r="C23" s="1">
        <f>A23*0.0094-18.369</f>
        <v>0.65660000000000096</v>
      </c>
    </row>
    <row r="24" spans="1:19" x14ac:dyDescent="0.3">
      <c r="B24" s="10"/>
    </row>
    <row r="25" spans="1:19" ht="21" x14ac:dyDescent="0.3">
      <c r="B25" s="10"/>
      <c r="C25" s="11"/>
      <c r="D25" s="15" t="s">
        <v>23</v>
      </c>
      <c r="E25" s="11"/>
      <c r="F25" s="11"/>
      <c r="G25" s="11" t="s">
        <v>25</v>
      </c>
      <c r="H25" s="11"/>
      <c r="I25" s="11" t="s">
        <v>26</v>
      </c>
      <c r="J25" s="11"/>
      <c r="K25" s="11">
        <v>-18.369</v>
      </c>
      <c r="L25" s="4" t="s">
        <v>56</v>
      </c>
      <c r="M25" s="4"/>
      <c r="N25" s="4"/>
      <c r="O25" s="4"/>
      <c r="P25" s="4"/>
      <c r="Q25" s="4"/>
      <c r="R25" s="4"/>
      <c r="S25" s="4"/>
    </row>
    <row r="26" spans="1:19" ht="15" thickBot="1" x14ac:dyDescent="0.35">
      <c r="B26" s="10"/>
    </row>
    <row r="27" spans="1:19" x14ac:dyDescent="0.3">
      <c r="B27" s="10"/>
      <c r="I27" s="16" t="s">
        <v>27</v>
      </c>
      <c r="J27" s="17"/>
      <c r="K27" s="17"/>
      <c r="L27" s="17">
        <v>1900</v>
      </c>
      <c r="M27" s="18" t="s">
        <v>28</v>
      </c>
    </row>
    <row r="28" spans="1:19" ht="15" thickBot="1" x14ac:dyDescent="0.35">
      <c r="B28" s="10"/>
      <c r="I28" s="19" t="s">
        <v>52</v>
      </c>
      <c r="J28" s="20">
        <f>(B16-B4)/(A16-A4)</f>
        <v>9.0833333333333339E-3</v>
      </c>
      <c r="K28" s="20"/>
      <c r="L28" s="20">
        <v>2020</v>
      </c>
      <c r="M28" s="21" t="s">
        <v>28</v>
      </c>
    </row>
    <row r="29" spans="1:19" x14ac:dyDescent="0.3">
      <c r="B29" s="10"/>
      <c r="J29" s="4" t="s">
        <v>53</v>
      </c>
      <c r="K29" s="4"/>
      <c r="L29" s="4"/>
      <c r="M29" s="4"/>
      <c r="N29" s="4"/>
      <c r="O29" s="4"/>
    </row>
    <row r="30" spans="1:19" x14ac:dyDescent="0.3">
      <c r="B30" s="10"/>
      <c r="J30" s="4" t="s">
        <v>54</v>
      </c>
      <c r="K30" s="4"/>
      <c r="L30" s="4"/>
      <c r="M30" s="4"/>
      <c r="N30" s="4"/>
      <c r="O30" s="4"/>
    </row>
    <row r="31" spans="1:19" x14ac:dyDescent="0.3">
      <c r="B31" s="10"/>
      <c r="J31" s="4" t="s">
        <v>55</v>
      </c>
      <c r="K31" s="4"/>
      <c r="L31" s="4"/>
      <c r="M31" s="4"/>
      <c r="N31" s="4"/>
      <c r="O31" s="4"/>
    </row>
    <row r="32" spans="1:19" x14ac:dyDescent="0.3">
      <c r="B32" s="10"/>
    </row>
    <row r="33" spans="2:2" x14ac:dyDescent="0.3">
      <c r="B33" s="10"/>
    </row>
    <row r="34" spans="2:2" x14ac:dyDescent="0.3">
      <c r="B34" s="10"/>
    </row>
    <row r="35" spans="2:2" x14ac:dyDescent="0.3">
      <c r="B35" s="10"/>
    </row>
    <row r="36" spans="2:2" x14ac:dyDescent="0.3">
      <c r="B36" s="10"/>
    </row>
    <row r="37" spans="2:2" x14ac:dyDescent="0.3">
      <c r="B37" s="10"/>
    </row>
    <row r="38" spans="2:2" x14ac:dyDescent="0.3">
      <c r="B38" s="10"/>
    </row>
    <row r="39" spans="2:2" x14ac:dyDescent="0.3">
      <c r="B39" s="10"/>
    </row>
    <row r="40" spans="2:2" x14ac:dyDescent="0.3">
      <c r="B40" s="10"/>
    </row>
    <row r="41" spans="2:2" x14ac:dyDescent="0.3">
      <c r="B41" s="10"/>
    </row>
    <row r="42" spans="2:2" x14ac:dyDescent="0.3">
      <c r="B42" s="10"/>
    </row>
    <row r="43" spans="2:2" x14ac:dyDescent="0.3">
      <c r="B43" s="10"/>
    </row>
    <row r="44" spans="2:2" x14ac:dyDescent="0.3">
      <c r="B44" s="10"/>
    </row>
    <row r="45" spans="2:2" x14ac:dyDescent="0.3">
      <c r="B45" s="10"/>
    </row>
    <row r="46" spans="2:2" x14ac:dyDescent="0.3">
      <c r="B46" s="10"/>
    </row>
    <row r="47" spans="2:2" x14ac:dyDescent="0.3">
      <c r="B47" s="10"/>
    </row>
    <row r="48" spans="2:2" x14ac:dyDescent="0.3">
      <c r="B48" s="10"/>
    </row>
    <row r="49" spans="2:2" x14ac:dyDescent="0.3">
      <c r="B49" s="10"/>
    </row>
    <row r="50" spans="2:2" x14ac:dyDescent="0.3">
      <c r="B50" s="10"/>
    </row>
    <row r="51" spans="2:2" x14ac:dyDescent="0.3">
      <c r="B51" s="10"/>
    </row>
    <row r="52" spans="2:2" x14ac:dyDescent="0.3">
      <c r="B52" s="10"/>
    </row>
    <row r="53" spans="2:2" x14ac:dyDescent="0.3">
      <c r="B53" s="10"/>
    </row>
    <row r="54" spans="2:2" x14ac:dyDescent="0.3">
      <c r="B54" s="10"/>
    </row>
    <row r="55" spans="2:2" x14ac:dyDescent="0.3">
      <c r="B55" s="10"/>
    </row>
    <row r="56" spans="2:2" x14ac:dyDescent="0.3">
      <c r="B56" s="10"/>
    </row>
    <row r="57" spans="2:2" x14ac:dyDescent="0.3">
      <c r="B57" s="10"/>
    </row>
    <row r="58" spans="2:2" x14ac:dyDescent="0.3">
      <c r="B58" s="10"/>
    </row>
    <row r="59" spans="2:2" x14ac:dyDescent="0.3">
      <c r="B59" s="10"/>
    </row>
    <row r="60" spans="2:2" x14ac:dyDescent="0.3">
      <c r="B60" s="10"/>
    </row>
    <row r="61" spans="2:2" x14ac:dyDescent="0.3">
      <c r="B61" s="10"/>
    </row>
    <row r="62" spans="2:2" x14ac:dyDescent="0.3">
      <c r="B62" s="10"/>
    </row>
    <row r="63" spans="2:2" x14ac:dyDescent="0.3">
      <c r="B63" s="10"/>
    </row>
    <row r="64" spans="2:2" x14ac:dyDescent="0.3">
      <c r="B64" s="10"/>
    </row>
    <row r="65" spans="2:2" x14ac:dyDescent="0.3">
      <c r="B65" s="10"/>
    </row>
    <row r="66" spans="2:2" x14ac:dyDescent="0.3">
      <c r="B66" s="10"/>
    </row>
    <row r="67" spans="2:2" x14ac:dyDescent="0.3">
      <c r="B67" s="10"/>
    </row>
    <row r="68" spans="2:2" x14ac:dyDescent="0.3">
      <c r="B68" s="10"/>
    </row>
    <row r="69" spans="2:2" x14ac:dyDescent="0.3">
      <c r="B69" s="10"/>
    </row>
    <row r="70" spans="2:2" x14ac:dyDescent="0.3">
      <c r="B70" s="10"/>
    </row>
    <row r="71" spans="2:2" x14ac:dyDescent="0.3">
      <c r="B71" s="10"/>
    </row>
    <row r="72" spans="2:2" x14ac:dyDescent="0.3">
      <c r="B72" s="10"/>
    </row>
    <row r="73" spans="2:2" x14ac:dyDescent="0.3">
      <c r="B73" s="10"/>
    </row>
    <row r="74" spans="2:2" x14ac:dyDescent="0.3">
      <c r="B74" s="10"/>
    </row>
    <row r="75" spans="2:2" x14ac:dyDescent="0.3">
      <c r="B75" s="10"/>
    </row>
    <row r="76" spans="2:2" x14ac:dyDescent="0.3">
      <c r="B76" s="10"/>
    </row>
    <row r="77" spans="2:2" x14ac:dyDescent="0.3">
      <c r="B77" s="10"/>
    </row>
    <row r="78" spans="2:2" x14ac:dyDescent="0.3">
      <c r="B78" s="10"/>
    </row>
    <row r="79" spans="2:2" x14ac:dyDescent="0.3">
      <c r="B79" s="10"/>
    </row>
    <row r="80" spans="2:2" x14ac:dyDescent="0.3">
      <c r="B80" s="10"/>
    </row>
    <row r="81" spans="2:2" x14ac:dyDescent="0.3">
      <c r="B81" s="10"/>
    </row>
    <row r="82" spans="2:2" x14ac:dyDescent="0.3">
      <c r="B82" s="10"/>
    </row>
    <row r="83" spans="2:2" x14ac:dyDescent="0.3">
      <c r="B83" s="10"/>
    </row>
    <row r="84" spans="2:2" x14ac:dyDescent="0.3">
      <c r="B84" s="10"/>
    </row>
    <row r="85" spans="2:2" x14ac:dyDescent="0.3">
      <c r="B85" s="10"/>
    </row>
    <row r="86" spans="2:2" x14ac:dyDescent="0.3">
      <c r="B86" s="10"/>
    </row>
    <row r="87" spans="2:2" x14ac:dyDescent="0.3">
      <c r="B87" s="10"/>
    </row>
    <row r="88" spans="2:2" x14ac:dyDescent="0.3">
      <c r="B88" s="10"/>
    </row>
    <row r="89" spans="2:2" x14ac:dyDescent="0.3">
      <c r="B89" s="10"/>
    </row>
    <row r="90" spans="2:2" x14ac:dyDescent="0.3">
      <c r="B90" s="10"/>
    </row>
    <row r="91" spans="2:2" x14ac:dyDescent="0.3">
      <c r="B91" s="10"/>
    </row>
    <row r="92" spans="2:2" x14ac:dyDescent="0.3">
      <c r="B92" s="10"/>
    </row>
    <row r="93" spans="2:2" x14ac:dyDescent="0.3">
      <c r="B93" s="10"/>
    </row>
    <row r="94" spans="2:2" x14ac:dyDescent="0.3">
      <c r="B94" s="10"/>
    </row>
    <row r="95" spans="2:2" x14ac:dyDescent="0.3">
      <c r="B95" s="10"/>
    </row>
    <row r="96" spans="2:2" x14ac:dyDescent="0.3">
      <c r="B96" s="10"/>
    </row>
    <row r="97" spans="2:2" x14ac:dyDescent="0.3">
      <c r="B97" s="10"/>
    </row>
    <row r="98" spans="2:2" x14ac:dyDescent="0.3">
      <c r="B98" s="10"/>
    </row>
    <row r="99" spans="2:2" x14ac:dyDescent="0.3">
      <c r="B99" s="10"/>
    </row>
    <row r="100" spans="2:2" x14ac:dyDescent="0.3">
      <c r="B100" s="10"/>
    </row>
    <row r="101" spans="2:2" x14ac:dyDescent="0.3">
      <c r="B101" s="10"/>
    </row>
    <row r="102" spans="2:2" x14ac:dyDescent="0.3">
      <c r="B102" s="10"/>
    </row>
    <row r="103" spans="2:2" x14ac:dyDescent="0.3">
      <c r="B103" s="10"/>
    </row>
    <row r="104" spans="2:2" x14ac:dyDescent="0.3">
      <c r="B104" s="10"/>
    </row>
    <row r="105" spans="2:2" x14ac:dyDescent="0.3">
      <c r="B105" s="10"/>
    </row>
    <row r="106" spans="2:2" x14ac:dyDescent="0.3">
      <c r="B106" s="10"/>
    </row>
    <row r="107" spans="2:2" x14ac:dyDescent="0.3">
      <c r="B107" s="10"/>
    </row>
    <row r="108" spans="2:2" x14ac:dyDescent="0.3">
      <c r="B108" s="10"/>
    </row>
    <row r="109" spans="2:2" x14ac:dyDescent="0.3">
      <c r="B109" s="10"/>
    </row>
    <row r="110" spans="2:2" x14ac:dyDescent="0.3">
      <c r="B110" s="10"/>
    </row>
    <row r="111" spans="2:2" x14ac:dyDescent="0.3">
      <c r="B111" s="10"/>
    </row>
    <row r="112" spans="2:2" x14ac:dyDescent="0.3">
      <c r="B112" s="10"/>
    </row>
    <row r="113" spans="2:2" x14ac:dyDescent="0.3">
      <c r="B113" s="10"/>
    </row>
    <row r="114" spans="2:2" x14ac:dyDescent="0.3">
      <c r="B114" s="10"/>
    </row>
    <row r="115" spans="2:2" x14ac:dyDescent="0.3">
      <c r="B115" s="10"/>
    </row>
    <row r="116" spans="2:2" x14ac:dyDescent="0.3">
      <c r="B116" s="10"/>
    </row>
    <row r="117" spans="2:2" x14ac:dyDescent="0.3">
      <c r="B117" s="10"/>
    </row>
    <row r="118" spans="2:2" x14ac:dyDescent="0.3">
      <c r="B118" s="10"/>
    </row>
    <row r="119" spans="2:2" x14ac:dyDescent="0.3">
      <c r="B119" s="1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14999847407452621"/>
  </sheetPr>
  <dimension ref="A1:G140"/>
  <sheetViews>
    <sheetView workbookViewId="0">
      <selection activeCell="D14" sqref="D14"/>
    </sheetView>
  </sheetViews>
  <sheetFormatPr defaultRowHeight="14.4" x14ac:dyDescent="0.3"/>
  <cols>
    <col min="2" max="2" width="10.21875" style="1" customWidth="1"/>
  </cols>
  <sheetData>
    <row r="1" spans="1:4" x14ac:dyDescent="0.3">
      <c r="A1" s="5" t="s">
        <v>0</v>
      </c>
      <c r="B1" s="10"/>
    </row>
    <row r="2" spans="1:4" x14ac:dyDescent="0.3">
      <c r="A2" s="5"/>
      <c r="B2" s="10"/>
    </row>
    <row r="3" spans="1:4" x14ac:dyDescent="0.3">
      <c r="A3" s="7" t="s">
        <v>21</v>
      </c>
      <c r="B3" s="12" t="s">
        <v>22</v>
      </c>
      <c r="C3" s="7" t="s">
        <v>57</v>
      </c>
      <c r="D3" s="7" t="s">
        <v>58</v>
      </c>
    </row>
    <row r="4" spans="1:4" x14ac:dyDescent="0.3">
      <c r="A4">
        <v>0</v>
      </c>
      <c r="B4" s="10">
        <v>-0.08</v>
      </c>
    </row>
    <row r="5" spans="1:4" x14ac:dyDescent="0.3">
      <c r="A5">
        <f>A4+1</f>
        <v>1</v>
      </c>
      <c r="B5" s="10">
        <v>-0.43</v>
      </c>
    </row>
    <row r="6" spans="1:4" x14ac:dyDescent="0.3">
      <c r="A6">
        <f t="shared" ref="A6:A16" si="0">A5+1</f>
        <v>2</v>
      </c>
      <c r="B6" s="10">
        <v>-0.27</v>
      </c>
    </row>
    <row r="7" spans="1:4" x14ac:dyDescent="0.3">
      <c r="A7">
        <f t="shared" si="0"/>
        <v>3</v>
      </c>
      <c r="B7" s="10">
        <v>-0.15</v>
      </c>
    </row>
    <row r="8" spans="1:4" x14ac:dyDescent="0.3">
      <c r="A8">
        <f t="shared" si="0"/>
        <v>4</v>
      </c>
      <c r="B8" s="10">
        <v>0.13</v>
      </c>
    </row>
    <row r="9" spans="1:4" x14ac:dyDescent="0.3">
      <c r="A9">
        <f t="shared" si="0"/>
        <v>5</v>
      </c>
      <c r="B9" s="10">
        <v>-0.17</v>
      </c>
    </row>
    <row r="10" spans="1:4" x14ac:dyDescent="0.3">
      <c r="A10">
        <f t="shared" si="0"/>
        <v>6</v>
      </c>
      <c r="B10" s="10">
        <v>-0.03</v>
      </c>
    </row>
    <row r="11" spans="1:4" x14ac:dyDescent="0.3">
      <c r="A11">
        <f t="shared" si="0"/>
        <v>7</v>
      </c>
      <c r="B11" s="10">
        <v>0.03</v>
      </c>
    </row>
    <row r="12" spans="1:4" x14ac:dyDescent="0.3">
      <c r="A12">
        <f t="shared" si="0"/>
        <v>8</v>
      </c>
      <c r="B12" s="10">
        <v>0.26</v>
      </c>
    </row>
    <row r="13" spans="1:4" x14ac:dyDescent="0.3">
      <c r="A13">
        <f t="shared" si="0"/>
        <v>9</v>
      </c>
      <c r="B13" s="10">
        <v>0.45</v>
      </c>
    </row>
    <row r="14" spans="1:4" x14ac:dyDescent="0.3">
      <c r="A14">
        <f t="shared" si="0"/>
        <v>10</v>
      </c>
      <c r="B14" s="10">
        <v>0.39</v>
      </c>
    </row>
    <row r="15" spans="1:4" x14ac:dyDescent="0.3">
      <c r="A15">
        <f t="shared" si="0"/>
        <v>11</v>
      </c>
      <c r="B15" s="10">
        <v>0.72</v>
      </c>
    </row>
    <row r="16" spans="1:4" x14ac:dyDescent="0.3">
      <c r="A16">
        <f t="shared" si="0"/>
        <v>12</v>
      </c>
      <c r="B16" s="10">
        <v>1.01</v>
      </c>
    </row>
    <row r="17" spans="1:7" x14ac:dyDescent="0.3">
      <c r="B17" s="10"/>
    </row>
    <row r="18" spans="1:7" x14ac:dyDescent="0.3">
      <c r="B18" s="10"/>
    </row>
    <row r="19" spans="1:7" x14ac:dyDescent="0.3">
      <c r="B19" s="10"/>
    </row>
    <row r="20" spans="1:7" x14ac:dyDescent="0.3">
      <c r="A20">
        <v>2021</v>
      </c>
      <c r="B20" s="10">
        <v>0.84</v>
      </c>
    </row>
    <row r="21" spans="1:7" x14ac:dyDescent="0.3">
      <c r="A21">
        <v>2022</v>
      </c>
      <c r="B21" s="10">
        <v>0.89</v>
      </c>
      <c r="C21" s="10"/>
      <c r="D21" s="10"/>
      <c r="E21" s="10"/>
      <c r="F21" s="10"/>
      <c r="G21" s="10"/>
    </row>
    <row r="22" spans="1:7" x14ac:dyDescent="0.3">
      <c r="A22">
        <v>2023</v>
      </c>
      <c r="B22" s="10"/>
      <c r="C22" s="10"/>
      <c r="D22" s="10"/>
      <c r="E22" s="10"/>
      <c r="F22" s="10"/>
      <c r="G22" s="10"/>
    </row>
    <row r="23" spans="1:7" x14ac:dyDescent="0.3">
      <c r="A23">
        <v>2024</v>
      </c>
      <c r="B23" s="10"/>
      <c r="C23" s="10"/>
      <c r="D23" s="10"/>
      <c r="E23" s="10"/>
      <c r="F23" s="10"/>
      <c r="G23" s="10"/>
    </row>
    <row r="24" spans="1:7" ht="21" x14ac:dyDescent="0.3">
      <c r="B24" s="10"/>
      <c r="C24" s="10"/>
      <c r="D24" s="23"/>
      <c r="E24" s="10"/>
      <c r="F24" s="10"/>
      <c r="G24" s="10"/>
    </row>
    <row r="25" spans="1:7" x14ac:dyDescent="0.3">
      <c r="B25" s="10"/>
      <c r="C25" s="10"/>
      <c r="D25" s="10"/>
      <c r="E25" s="10"/>
      <c r="F25" s="10"/>
      <c r="G25" s="10"/>
    </row>
    <row r="26" spans="1:7" x14ac:dyDescent="0.3">
      <c r="B26" s="10"/>
      <c r="C26" s="10"/>
      <c r="D26" s="10"/>
      <c r="E26" s="10"/>
      <c r="F26" s="10"/>
      <c r="G26" s="10"/>
    </row>
    <row r="27" spans="1:7" ht="21" x14ac:dyDescent="0.3">
      <c r="B27" s="10"/>
      <c r="C27" s="10"/>
      <c r="D27" s="10"/>
      <c r="E27" s="23"/>
      <c r="F27" s="10"/>
      <c r="G27" s="10"/>
    </row>
    <row r="28" spans="1:7" x14ac:dyDescent="0.3">
      <c r="B28" s="10"/>
      <c r="C28" s="10"/>
      <c r="D28" s="10"/>
      <c r="E28" s="10"/>
      <c r="F28" s="10"/>
      <c r="G28" s="10"/>
    </row>
    <row r="29" spans="1:7" x14ac:dyDescent="0.3">
      <c r="B29" s="10"/>
      <c r="C29" s="10"/>
      <c r="D29" s="10"/>
      <c r="E29" s="10"/>
      <c r="F29" s="10"/>
      <c r="G29" s="10"/>
    </row>
    <row r="30" spans="1:7" x14ac:dyDescent="0.3">
      <c r="B30" s="10"/>
      <c r="C30" s="10"/>
      <c r="D30" s="10"/>
      <c r="E30" s="10"/>
      <c r="F30" s="10"/>
      <c r="G30" s="10"/>
    </row>
    <row r="31" spans="1:7" x14ac:dyDescent="0.3">
      <c r="B31" s="10"/>
      <c r="C31" s="10"/>
      <c r="D31" s="10"/>
      <c r="E31" s="10"/>
      <c r="F31" s="10"/>
      <c r="G31" s="10"/>
    </row>
    <row r="32" spans="1:7" x14ac:dyDescent="0.3">
      <c r="B32" s="10"/>
      <c r="C32" s="10"/>
      <c r="D32" s="10"/>
      <c r="E32" s="10"/>
      <c r="F32" s="10"/>
      <c r="G32" s="10"/>
    </row>
    <row r="33" spans="2:7" x14ac:dyDescent="0.3">
      <c r="B33" s="10"/>
      <c r="C33" s="10"/>
      <c r="D33" s="10"/>
      <c r="E33" s="10"/>
      <c r="F33" s="10"/>
      <c r="G33" s="10"/>
    </row>
    <row r="34" spans="2:7" x14ac:dyDescent="0.3">
      <c r="B34" s="10"/>
      <c r="C34" s="10"/>
      <c r="D34" s="10"/>
      <c r="E34" s="10"/>
      <c r="F34" s="10"/>
      <c r="G34" s="10"/>
    </row>
    <row r="35" spans="2:7" x14ac:dyDescent="0.3">
      <c r="B35" s="10"/>
      <c r="C35" s="10"/>
      <c r="D35" s="10"/>
      <c r="E35" s="10"/>
      <c r="F35" s="10"/>
      <c r="G35" s="10"/>
    </row>
    <row r="36" spans="2:7" x14ac:dyDescent="0.3">
      <c r="B36" s="10"/>
    </row>
    <row r="37" spans="2:7" x14ac:dyDescent="0.3">
      <c r="B37" s="10"/>
    </row>
    <row r="38" spans="2:7" x14ac:dyDescent="0.3">
      <c r="B38" s="10"/>
    </row>
    <row r="39" spans="2:7" x14ac:dyDescent="0.3">
      <c r="B39" s="10"/>
    </row>
    <row r="40" spans="2:7" x14ac:dyDescent="0.3">
      <c r="B40" s="10"/>
    </row>
    <row r="41" spans="2:7" x14ac:dyDescent="0.3">
      <c r="B41" s="10"/>
    </row>
    <row r="42" spans="2:7" x14ac:dyDescent="0.3">
      <c r="B42" s="10"/>
    </row>
    <row r="43" spans="2:7" x14ac:dyDescent="0.3">
      <c r="B43" s="10"/>
    </row>
    <row r="44" spans="2:7" x14ac:dyDescent="0.3">
      <c r="B44" s="10"/>
    </row>
    <row r="45" spans="2:7" x14ac:dyDescent="0.3">
      <c r="B45" s="10"/>
    </row>
    <row r="46" spans="2:7" x14ac:dyDescent="0.3">
      <c r="B46" s="10"/>
    </row>
    <row r="47" spans="2:7" x14ac:dyDescent="0.3">
      <c r="B47" s="10"/>
    </row>
    <row r="48" spans="2:7" x14ac:dyDescent="0.3">
      <c r="B48" s="10"/>
    </row>
    <row r="49" spans="2:2" x14ac:dyDescent="0.3">
      <c r="B49" s="10"/>
    </row>
    <row r="50" spans="2:2" x14ac:dyDescent="0.3">
      <c r="B50" s="10"/>
    </row>
    <row r="51" spans="2:2" x14ac:dyDescent="0.3">
      <c r="B51" s="10"/>
    </row>
    <row r="52" spans="2:2" x14ac:dyDescent="0.3">
      <c r="B52" s="10"/>
    </row>
    <row r="53" spans="2:2" x14ac:dyDescent="0.3">
      <c r="B53" s="10"/>
    </row>
    <row r="54" spans="2:2" x14ac:dyDescent="0.3">
      <c r="B54" s="10"/>
    </row>
    <row r="55" spans="2:2" x14ac:dyDescent="0.3">
      <c r="B55" s="10"/>
    </row>
    <row r="56" spans="2:2" x14ac:dyDescent="0.3">
      <c r="B56" s="10"/>
    </row>
    <row r="57" spans="2:2" x14ac:dyDescent="0.3">
      <c r="B57" s="10"/>
    </row>
    <row r="58" spans="2:2" x14ac:dyDescent="0.3">
      <c r="B58" s="10"/>
    </row>
    <row r="59" spans="2:2" x14ac:dyDescent="0.3">
      <c r="B59" s="10"/>
    </row>
    <row r="60" spans="2:2" x14ac:dyDescent="0.3">
      <c r="B60" s="10"/>
    </row>
    <row r="61" spans="2:2" x14ac:dyDescent="0.3">
      <c r="B61" s="10"/>
    </row>
    <row r="62" spans="2:2" x14ac:dyDescent="0.3">
      <c r="B62" s="10"/>
    </row>
    <row r="63" spans="2:2" x14ac:dyDescent="0.3">
      <c r="B63" s="10"/>
    </row>
    <row r="64" spans="2:2" x14ac:dyDescent="0.3">
      <c r="B64" s="10"/>
    </row>
    <row r="65" spans="2:2" x14ac:dyDescent="0.3">
      <c r="B65" s="10"/>
    </row>
    <row r="66" spans="2:2" x14ac:dyDescent="0.3">
      <c r="B66" s="10"/>
    </row>
    <row r="67" spans="2:2" x14ac:dyDescent="0.3">
      <c r="B67" s="10"/>
    </row>
    <row r="68" spans="2:2" x14ac:dyDescent="0.3">
      <c r="B68" s="10"/>
    </row>
    <row r="69" spans="2:2" x14ac:dyDescent="0.3">
      <c r="B69" s="10"/>
    </row>
    <row r="70" spans="2:2" x14ac:dyDescent="0.3">
      <c r="B70" s="10"/>
    </row>
    <row r="71" spans="2:2" x14ac:dyDescent="0.3">
      <c r="B71" s="10"/>
    </row>
    <row r="72" spans="2:2" x14ac:dyDescent="0.3">
      <c r="B72" s="10"/>
    </row>
    <row r="73" spans="2:2" x14ac:dyDescent="0.3">
      <c r="B73" s="10"/>
    </row>
    <row r="74" spans="2:2" x14ac:dyDescent="0.3">
      <c r="B74" s="10"/>
    </row>
    <row r="75" spans="2:2" x14ac:dyDescent="0.3">
      <c r="B75" s="10"/>
    </row>
    <row r="76" spans="2:2" x14ac:dyDescent="0.3">
      <c r="B76" s="10"/>
    </row>
    <row r="77" spans="2:2" x14ac:dyDescent="0.3">
      <c r="B77" s="10"/>
    </row>
    <row r="78" spans="2:2" x14ac:dyDescent="0.3">
      <c r="B78" s="10"/>
    </row>
    <row r="79" spans="2:2" x14ac:dyDescent="0.3">
      <c r="B79" s="10"/>
    </row>
    <row r="80" spans="2:2" x14ac:dyDescent="0.3">
      <c r="B80" s="10"/>
    </row>
    <row r="81" spans="2:2" x14ac:dyDescent="0.3">
      <c r="B81" s="10"/>
    </row>
    <row r="82" spans="2:2" x14ac:dyDescent="0.3">
      <c r="B82" s="10"/>
    </row>
    <row r="83" spans="2:2" x14ac:dyDescent="0.3">
      <c r="B83" s="10"/>
    </row>
    <row r="84" spans="2:2" x14ac:dyDescent="0.3">
      <c r="B84" s="10"/>
    </row>
    <row r="85" spans="2:2" x14ac:dyDescent="0.3">
      <c r="B85" s="10"/>
    </row>
    <row r="86" spans="2:2" x14ac:dyDescent="0.3">
      <c r="B86" s="10"/>
    </row>
    <row r="87" spans="2:2" x14ac:dyDescent="0.3">
      <c r="B87" s="10"/>
    </row>
    <row r="88" spans="2:2" x14ac:dyDescent="0.3">
      <c r="B88" s="10"/>
    </row>
    <row r="89" spans="2:2" x14ac:dyDescent="0.3">
      <c r="B89" s="10"/>
    </row>
    <row r="90" spans="2:2" x14ac:dyDescent="0.3">
      <c r="B90" s="10"/>
    </row>
    <row r="91" spans="2:2" x14ac:dyDescent="0.3">
      <c r="B91" s="10"/>
    </row>
    <row r="92" spans="2:2" x14ac:dyDescent="0.3">
      <c r="B92" s="10"/>
    </row>
    <row r="93" spans="2:2" x14ac:dyDescent="0.3">
      <c r="B93" s="10"/>
    </row>
    <row r="94" spans="2:2" x14ac:dyDescent="0.3">
      <c r="B94" s="10"/>
    </row>
    <row r="95" spans="2:2" x14ac:dyDescent="0.3">
      <c r="B95" s="10"/>
    </row>
    <row r="96" spans="2:2" x14ac:dyDescent="0.3">
      <c r="B96" s="10"/>
    </row>
    <row r="97" spans="2:2" x14ac:dyDescent="0.3">
      <c r="B97" s="10"/>
    </row>
    <row r="98" spans="2:2" x14ac:dyDescent="0.3">
      <c r="B98" s="10"/>
    </row>
    <row r="99" spans="2:2" x14ac:dyDescent="0.3">
      <c r="B99" s="10"/>
    </row>
    <row r="100" spans="2:2" x14ac:dyDescent="0.3">
      <c r="B100" s="10"/>
    </row>
    <row r="101" spans="2:2" x14ac:dyDescent="0.3">
      <c r="B101" s="10"/>
    </row>
    <row r="102" spans="2:2" x14ac:dyDescent="0.3">
      <c r="B102" s="10"/>
    </row>
    <row r="103" spans="2:2" x14ac:dyDescent="0.3">
      <c r="B103" s="10"/>
    </row>
    <row r="104" spans="2:2" x14ac:dyDescent="0.3">
      <c r="B104" s="10"/>
    </row>
    <row r="105" spans="2:2" x14ac:dyDescent="0.3">
      <c r="B105" s="10"/>
    </row>
    <row r="106" spans="2:2" x14ac:dyDescent="0.3">
      <c r="B106" s="10"/>
    </row>
    <row r="107" spans="2:2" x14ac:dyDescent="0.3">
      <c r="B107" s="10"/>
    </row>
    <row r="108" spans="2:2" x14ac:dyDescent="0.3">
      <c r="B108" s="10"/>
    </row>
    <row r="109" spans="2:2" x14ac:dyDescent="0.3">
      <c r="B109" s="10"/>
    </row>
    <row r="110" spans="2:2" x14ac:dyDescent="0.3">
      <c r="B110" s="10"/>
    </row>
    <row r="111" spans="2:2" x14ac:dyDescent="0.3">
      <c r="B111" s="10"/>
    </row>
    <row r="112" spans="2:2" x14ac:dyDescent="0.3">
      <c r="B112" s="10"/>
    </row>
    <row r="113" spans="2:2" x14ac:dyDescent="0.3">
      <c r="B113" s="10"/>
    </row>
    <row r="114" spans="2:2" x14ac:dyDescent="0.3">
      <c r="B114" s="10"/>
    </row>
    <row r="115" spans="2:2" x14ac:dyDescent="0.3">
      <c r="B115" s="10"/>
    </row>
    <row r="116" spans="2:2" x14ac:dyDescent="0.3">
      <c r="B116" s="10"/>
    </row>
    <row r="117" spans="2:2" x14ac:dyDescent="0.3">
      <c r="B117" s="10"/>
    </row>
    <row r="118" spans="2:2" x14ac:dyDescent="0.3">
      <c r="B118" s="10"/>
    </row>
    <row r="119" spans="2:2" x14ac:dyDescent="0.3">
      <c r="B119" s="10"/>
    </row>
    <row r="120" spans="2:2" x14ac:dyDescent="0.3">
      <c r="B120" s="10"/>
    </row>
    <row r="121" spans="2:2" x14ac:dyDescent="0.3">
      <c r="B121" s="10"/>
    </row>
    <row r="122" spans="2:2" x14ac:dyDescent="0.3">
      <c r="B122" s="10"/>
    </row>
    <row r="123" spans="2:2" x14ac:dyDescent="0.3">
      <c r="B123" s="10"/>
    </row>
    <row r="124" spans="2:2" x14ac:dyDescent="0.3">
      <c r="B124" s="10"/>
    </row>
    <row r="125" spans="2:2" x14ac:dyDescent="0.3">
      <c r="B125" s="10"/>
    </row>
    <row r="126" spans="2:2" x14ac:dyDescent="0.3">
      <c r="B126" s="10"/>
    </row>
    <row r="127" spans="2:2" x14ac:dyDescent="0.3">
      <c r="B127" s="10"/>
    </row>
    <row r="128" spans="2:2" x14ac:dyDescent="0.3">
      <c r="B128" s="10"/>
    </row>
    <row r="129" spans="2:2" x14ac:dyDescent="0.3">
      <c r="B129" s="10"/>
    </row>
    <row r="130" spans="2:2" x14ac:dyDescent="0.3">
      <c r="B130" s="10"/>
    </row>
    <row r="131" spans="2:2" x14ac:dyDescent="0.3">
      <c r="B131" s="10"/>
    </row>
    <row r="132" spans="2:2" x14ac:dyDescent="0.3">
      <c r="B132" s="10"/>
    </row>
    <row r="133" spans="2:2" x14ac:dyDescent="0.3">
      <c r="B133" s="10"/>
    </row>
    <row r="134" spans="2:2" x14ac:dyDescent="0.3">
      <c r="B134" s="10"/>
    </row>
    <row r="135" spans="2:2" x14ac:dyDescent="0.3">
      <c r="B135" s="10"/>
    </row>
    <row r="136" spans="2:2" x14ac:dyDescent="0.3">
      <c r="B136" s="10"/>
    </row>
    <row r="137" spans="2:2" x14ac:dyDescent="0.3">
      <c r="B137" s="10"/>
    </row>
    <row r="138" spans="2:2" x14ac:dyDescent="0.3">
      <c r="B138" s="10"/>
    </row>
    <row r="139" spans="2:2" x14ac:dyDescent="0.3">
      <c r="B139" s="10"/>
    </row>
    <row r="140" spans="2:2" x14ac:dyDescent="0.3">
      <c r="B14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V140"/>
  <sheetViews>
    <sheetView topLeftCell="A7" workbookViewId="0">
      <selection activeCell="N24" sqref="N24"/>
    </sheetView>
  </sheetViews>
  <sheetFormatPr defaultRowHeight="14.4" x14ac:dyDescent="0.3"/>
  <cols>
    <col min="2" max="2" width="10.21875" style="1" customWidth="1"/>
  </cols>
  <sheetData>
    <row r="1" spans="1:4" x14ac:dyDescent="0.3">
      <c r="A1" s="5" t="s">
        <v>0</v>
      </c>
      <c r="B1" s="10"/>
    </row>
    <row r="2" spans="1:4" x14ac:dyDescent="0.3">
      <c r="A2" s="5"/>
      <c r="B2" s="10"/>
    </row>
    <row r="3" spans="1:4" x14ac:dyDescent="0.3">
      <c r="A3" s="7" t="s">
        <v>21</v>
      </c>
      <c r="B3" s="12" t="s">
        <v>22</v>
      </c>
      <c r="C3" s="7" t="s">
        <v>57</v>
      </c>
      <c r="D3" s="7" t="s">
        <v>58</v>
      </c>
    </row>
    <row r="4" spans="1:4" x14ac:dyDescent="0.3">
      <c r="A4">
        <v>0</v>
      </c>
      <c r="B4" s="10">
        <v>-0.08</v>
      </c>
      <c r="C4" s="22">
        <f>0.0104*(A4^2)-0.0298*A4-0.1958</f>
        <v>-0.1958</v>
      </c>
      <c r="D4" s="13">
        <f>(B4-C4)^2</f>
        <v>1.340964E-2</v>
      </c>
    </row>
    <row r="5" spans="1:4" x14ac:dyDescent="0.3">
      <c r="A5">
        <f>A4+1</f>
        <v>1</v>
      </c>
      <c r="B5" s="10">
        <v>-0.43</v>
      </c>
      <c r="C5" s="22">
        <f t="shared" ref="C5:C16" si="0">0.0104*(A5^2)-0.0298*A5-0.1958</f>
        <v>-0.2152</v>
      </c>
      <c r="D5" s="13">
        <f t="shared" ref="D5:D16" si="1">(B5-C5)^2</f>
        <v>4.6139039999999999E-2</v>
      </c>
    </row>
    <row r="6" spans="1:4" x14ac:dyDescent="0.3">
      <c r="A6">
        <f t="shared" ref="A6:A16" si="2">A5+1</f>
        <v>2</v>
      </c>
      <c r="B6" s="10">
        <v>-0.27</v>
      </c>
      <c r="C6" s="22">
        <f t="shared" si="0"/>
        <v>-0.21379999999999999</v>
      </c>
      <c r="D6" s="13">
        <f t="shared" si="1"/>
        <v>3.1584400000000032E-3</v>
      </c>
    </row>
    <row r="7" spans="1:4" x14ac:dyDescent="0.3">
      <c r="A7">
        <f t="shared" si="2"/>
        <v>3</v>
      </c>
      <c r="B7" s="10">
        <v>-0.15</v>
      </c>
      <c r="C7" s="22">
        <f t="shared" si="0"/>
        <v>-0.19160000000000002</v>
      </c>
      <c r="D7" s="13">
        <f t="shared" si="1"/>
        <v>1.7305600000000021E-3</v>
      </c>
    </row>
    <row r="8" spans="1:4" x14ac:dyDescent="0.3">
      <c r="A8">
        <f t="shared" si="2"/>
        <v>4</v>
      </c>
      <c r="B8" s="10">
        <v>0.13</v>
      </c>
      <c r="C8" s="22">
        <f t="shared" si="0"/>
        <v>-0.14860000000000001</v>
      </c>
      <c r="D8" s="13">
        <f t="shared" si="1"/>
        <v>7.7617960000000014E-2</v>
      </c>
    </row>
    <row r="9" spans="1:4" x14ac:dyDescent="0.3">
      <c r="A9">
        <f t="shared" si="2"/>
        <v>5</v>
      </c>
      <c r="B9" s="10">
        <v>-0.17</v>
      </c>
      <c r="C9" s="22">
        <f t="shared" si="0"/>
        <v>-8.4799999999999986E-2</v>
      </c>
      <c r="D9" s="13">
        <f t="shared" si="1"/>
        <v>7.2590400000000048E-3</v>
      </c>
    </row>
    <row r="10" spans="1:4" x14ac:dyDescent="0.3">
      <c r="A10">
        <f t="shared" si="2"/>
        <v>6</v>
      </c>
      <c r="B10" s="10">
        <v>-0.03</v>
      </c>
      <c r="C10" s="22">
        <f t="shared" si="0"/>
        <v>-2.0000000000006124E-4</v>
      </c>
      <c r="D10" s="13">
        <f t="shared" si="1"/>
        <v>8.880399999999963E-4</v>
      </c>
    </row>
    <row r="11" spans="1:4" x14ac:dyDescent="0.3">
      <c r="A11">
        <f t="shared" si="2"/>
        <v>7</v>
      </c>
      <c r="B11" s="10">
        <v>0.03</v>
      </c>
      <c r="C11" s="22">
        <f t="shared" si="0"/>
        <v>0.10519999999999993</v>
      </c>
      <c r="D11" s="13">
        <f t="shared" si="1"/>
        <v>5.6550399999999897E-3</v>
      </c>
    </row>
    <row r="12" spans="1:4" x14ac:dyDescent="0.3">
      <c r="A12">
        <f t="shared" si="2"/>
        <v>8</v>
      </c>
      <c r="B12" s="10">
        <v>0.26</v>
      </c>
      <c r="C12" s="22">
        <f t="shared" si="0"/>
        <v>0.23139999999999997</v>
      </c>
      <c r="D12" s="13">
        <f t="shared" si="1"/>
        <v>8.1796000000000245E-4</v>
      </c>
    </row>
    <row r="13" spans="1:4" x14ac:dyDescent="0.3">
      <c r="A13">
        <f t="shared" si="2"/>
        <v>9</v>
      </c>
      <c r="B13" s="10">
        <v>0.45</v>
      </c>
      <c r="C13" s="22">
        <f t="shared" si="0"/>
        <v>0.37839999999999996</v>
      </c>
      <c r="D13" s="13">
        <f t="shared" si="1"/>
        <v>5.1265600000000074E-3</v>
      </c>
    </row>
    <row r="14" spans="1:4" x14ac:dyDescent="0.3">
      <c r="A14">
        <f t="shared" si="2"/>
        <v>10</v>
      </c>
      <c r="B14" s="10">
        <v>0.39</v>
      </c>
      <c r="C14" s="22">
        <f t="shared" si="0"/>
        <v>0.54620000000000002</v>
      </c>
      <c r="D14" s="13">
        <f t="shared" si="1"/>
        <v>2.439844E-2</v>
      </c>
    </row>
    <row r="15" spans="1:4" x14ac:dyDescent="0.3">
      <c r="A15">
        <f t="shared" si="2"/>
        <v>11</v>
      </c>
      <c r="B15" s="10">
        <v>0.72</v>
      </c>
      <c r="C15" s="22">
        <f t="shared" si="0"/>
        <v>0.73480000000000001</v>
      </c>
      <c r="D15" s="13">
        <f t="shared" si="1"/>
        <v>2.1904000000000105E-4</v>
      </c>
    </row>
    <row r="16" spans="1:4" x14ac:dyDescent="0.3">
      <c r="A16">
        <f t="shared" si="2"/>
        <v>12</v>
      </c>
      <c r="B16" s="10">
        <v>1.01</v>
      </c>
      <c r="C16" s="22">
        <f t="shared" si="0"/>
        <v>0.94419999999999971</v>
      </c>
      <c r="D16" s="13">
        <f t="shared" si="1"/>
        <v>4.3296400000000399E-3</v>
      </c>
    </row>
    <row r="17" spans="1:22" x14ac:dyDescent="0.3">
      <c r="B17" s="10"/>
      <c r="D17" s="14">
        <f>SUM(D4:D16)</f>
        <v>0.1907494000000001</v>
      </c>
      <c r="E17" s="5" t="s">
        <v>59</v>
      </c>
    </row>
    <row r="18" spans="1:22" x14ac:dyDescent="0.3">
      <c r="B18" s="10"/>
    </row>
    <row r="19" spans="1:22" x14ac:dyDescent="0.3">
      <c r="B19" s="10"/>
    </row>
    <row r="20" spans="1:22" x14ac:dyDescent="0.3">
      <c r="A20" s="11">
        <v>2021</v>
      </c>
      <c r="B20" s="10">
        <v>0.84</v>
      </c>
      <c r="C20" s="22">
        <f>0.0104*(E29^2)-0.0298*E29-0.1958</f>
        <v>0.9662839999999997</v>
      </c>
    </row>
    <row r="21" spans="1:22" x14ac:dyDescent="0.3">
      <c r="A21" s="11">
        <v>2022</v>
      </c>
      <c r="B21" s="10">
        <v>0.89</v>
      </c>
      <c r="C21" s="22">
        <f>0.0104*(E30^2)-0.0298*E30-0.1958</f>
        <v>0.9885759999999999</v>
      </c>
    </row>
    <row r="22" spans="1:22" x14ac:dyDescent="0.3">
      <c r="A22" s="11">
        <v>2023</v>
      </c>
      <c r="B22" s="10"/>
      <c r="C22" s="22">
        <f t="shared" ref="C22:C23" si="3">0.0104*(E31^2)-0.0298*E31-0.1958</f>
        <v>1.0110759999999994</v>
      </c>
    </row>
    <row r="23" spans="1:22" x14ac:dyDescent="0.3">
      <c r="A23" s="11">
        <v>2024</v>
      </c>
      <c r="B23" s="10"/>
      <c r="C23" s="22">
        <f t="shared" si="3"/>
        <v>1.0337839999999996</v>
      </c>
    </row>
    <row r="24" spans="1:22" x14ac:dyDescent="0.3">
      <c r="A24" s="11"/>
      <c r="B24" s="10"/>
      <c r="C24" s="22"/>
      <c r="D24" s="4" t="s">
        <v>60</v>
      </c>
      <c r="E24" s="4"/>
      <c r="F24" s="4"/>
      <c r="G24" s="4"/>
      <c r="H24" s="4"/>
      <c r="I24" s="4"/>
      <c r="J24" s="4"/>
    </row>
    <row r="25" spans="1:22" x14ac:dyDescent="0.3">
      <c r="B25" s="10"/>
      <c r="D25" s="4" t="s">
        <v>61</v>
      </c>
      <c r="E25" s="4"/>
      <c r="F25" s="4"/>
      <c r="G25" s="4"/>
      <c r="H25" s="4"/>
      <c r="I25" s="4"/>
      <c r="J25" s="4"/>
    </row>
    <row r="26" spans="1:22" x14ac:dyDescent="0.3">
      <c r="B26" s="10"/>
      <c r="D26" s="10"/>
      <c r="E26" s="10"/>
      <c r="F26" s="10"/>
    </row>
    <row r="27" spans="1:22" ht="17.399999999999999" x14ac:dyDescent="0.3">
      <c r="B27" s="10"/>
      <c r="E27" s="2" t="s">
        <v>73</v>
      </c>
    </row>
    <row r="28" spans="1:22" x14ac:dyDescent="0.3">
      <c r="B28" s="10"/>
    </row>
    <row r="29" spans="1:22" x14ac:dyDescent="0.3">
      <c r="B29" s="10"/>
      <c r="C29" s="11" t="s">
        <v>24</v>
      </c>
      <c r="D29" s="11">
        <v>2021</v>
      </c>
      <c r="E29" s="11">
        <v>12.1</v>
      </c>
      <c r="H29" s="11" t="s">
        <v>69</v>
      </c>
      <c r="I29" s="11"/>
      <c r="J29" s="11">
        <v>-0.1958</v>
      </c>
      <c r="K29" s="4" t="s">
        <v>77</v>
      </c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1:22" x14ac:dyDescent="0.3">
      <c r="B30" s="10"/>
      <c r="C30" s="11"/>
      <c r="D30" s="11">
        <v>2022</v>
      </c>
      <c r="E30" s="11">
        <f>E29+0.1</f>
        <v>12.2</v>
      </c>
      <c r="F30" s="10"/>
      <c r="H30" s="11" t="s">
        <v>70</v>
      </c>
      <c r="I30" s="39" t="s">
        <v>71</v>
      </c>
      <c r="J30" s="11">
        <f>-I32/(2*I31)</f>
        <v>1.4326923076923077</v>
      </c>
      <c r="K30" s="4" t="s">
        <v>76</v>
      </c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1" spans="1:22" x14ac:dyDescent="0.3">
      <c r="B31" s="10"/>
      <c r="C31" s="11"/>
      <c r="D31" s="11">
        <v>2023</v>
      </c>
      <c r="E31" s="11">
        <f t="shared" ref="E31:E32" si="4">E30+0.1</f>
        <v>12.299999999999999</v>
      </c>
      <c r="H31" s="11" t="s">
        <v>72</v>
      </c>
      <c r="I31" s="11">
        <v>1.04E-2</v>
      </c>
      <c r="J31" s="11"/>
    </row>
    <row r="32" spans="1:22" x14ac:dyDescent="0.3">
      <c r="B32" s="10"/>
      <c r="C32" s="11"/>
      <c r="D32" s="11">
        <v>2024</v>
      </c>
      <c r="E32" s="11">
        <f t="shared" si="4"/>
        <v>12.399999999999999</v>
      </c>
      <c r="H32" s="11" t="s">
        <v>74</v>
      </c>
      <c r="I32" s="11">
        <v>-2.98E-2</v>
      </c>
      <c r="J32" s="11"/>
    </row>
    <row r="33" spans="2:10" x14ac:dyDescent="0.3">
      <c r="B33" s="10"/>
      <c r="C33" s="11"/>
      <c r="D33" s="11"/>
      <c r="E33" s="11"/>
      <c r="H33" s="11" t="s">
        <v>75</v>
      </c>
      <c r="I33" s="11">
        <v>0.1958</v>
      </c>
      <c r="J33" s="11"/>
    </row>
    <row r="34" spans="2:10" x14ac:dyDescent="0.3">
      <c r="B34" s="10"/>
    </row>
    <row r="35" spans="2:10" x14ac:dyDescent="0.3">
      <c r="B35" s="10"/>
    </row>
    <row r="36" spans="2:10" x14ac:dyDescent="0.3">
      <c r="B36" s="10"/>
    </row>
    <row r="37" spans="2:10" x14ac:dyDescent="0.3">
      <c r="B37" s="10"/>
    </row>
    <row r="38" spans="2:10" x14ac:dyDescent="0.3">
      <c r="B38" s="10"/>
    </row>
    <row r="39" spans="2:10" x14ac:dyDescent="0.3">
      <c r="B39" s="10"/>
    </row>
    <row r="40" spans="2:10" x14ac:dyDescent="0.3">
      <c r="B40" s="10"/>
    </row>
    <row r="41" spans="2:10" x14ac:dyDescent="0.3">
      <c r="B41" s="10"/>
    </row>
    <row r="42" spans="2:10" x14ac:dyDescent="0.3">
      <c r="B42" s="10"/>
    </row>
    <row r="43" spans="2:10" x14ac:dyDescent="0.3">
      <c r="B43" s="10"/>
    </row>
    <row r="44" spans="2:10" x14ac:dyDescent="0.3">
      <c r="B44" s="10"/>
    </row>
    <row r="45" spans="2:10" x14ac:dyDescent="0.3">
      <c r="B45" s="10"/>
    </row>
    <row r="46" spans="2:10" x14ac:dyDescent="0.3">
      <c r="B46" s="10"/>
    </row>
    <row r="47" spans="2:10" x14ac:dyDescent="0.3">
      <c r="B47" s="10"/>
    </row>
    <row r="48" spans="2:10" x14ac:dyDescent="0.3">
      <c r="B48" s="10"/>
    </row>
    <row r="49" spans="2:2" x14ac:dyDescent="0.3">
      <c r="B49" s="10"/>
    </row>
    <row r="50" spans="2:2" x14ac:dyDescent="0.3">
      <c r="B50" s="10"/>
    </row>
    <row r="51" spans="2:2" x14ac:dyDescent="0.3">
      <c r="B51" s="10"/>
    </row>
    <row r="52" spans="2:2" x14ac:dyDescent="0.3">
      <c r="B52" s="10"/>
    </row>
    <row r="53" spans="2:2" x14ac:dyDescent="0.3">
      <c r="B53" s="10"/>
    </row>
    <row r="54" spans="2:2" x14ac:dyDescent="0.3">
      <c r="B54" s="10"/>
    </row>
    <row r="55" spans="2:2" x14ac:dyDescent="0.3">
      <c r="B55" s="10"/>
    </row>
    <row r="56" spans="2:2" x14ac:dyDescent="0.3">
      <c r="B56" s="10"/>
    </row>
    <row r="57" spans="2:2" x14ac:dyDescent="0.3">
      <c r="B57" s="10"/>
    </row>
    <row r="58" spans="2:2" x14ac:dyDescent="0.3">
      <c r="B58" s="10"/>
    </row>
    <row r="59" spans="2:2" x14ac:dyDescent="0.3">
      <c r="B59" s="10"/>
    </row>
    <row r="60" spans="2:2" x14ac:dyDescent="0.3">
      <c r="B60" s="10"/>
    </row>
    <row r="61" spans="2:2" x14ac:dyDescent="0.3">
      <c r="B61" s="10"/>
    </row>
    <row r="62" spans="2:2" x14ac:dyDescent="0.3">
      <c r="B62" s="10"/>
    </row>
    <row r="63" spans="2:2" x14ac:dyDescent="0.3">
      <c r="B63" s="10"/>
    </row>
    <row r="64" spans="2:2" x14ac:dyDescent="0.3">
      <c r="B64" s="10"/>
    </row>
    <row r="65" spans="2:2" x14ac:dyDescent="0.3">
      <c r="B65" s="10"/>
    </row>
    <row r="66" spans="2:2" x14ac:dyDescent="0.3">
      <c r="B66" s="10"/>
    </row>
    <row r="67" spans="2:2" x14ac:dyDescent="0.3">
      <c r="B67" s="10"/>
    </row>
    <row r="68" spans="2:2" x14ac:dyDescent="0.3">
      <c r="B68" s="10"/>
    </row>
    <row r="69" spans="2:2" x14ac:dyDescent="0.3">
      <c r="B69" s="10"/>
    </row>
    <row r="70" spans="2:2" x14ac:dyDescent="0.3">
      <c r="B70" s="10"/>
    </row>
    <row r="71" spans="2:2" x14ac:dyDescent="0.3">
      <c r="B71" s="10"/>
    </row>
    <row r="72" spans="2:2" x14ac:dyDescent="0.3">
      <c r="B72" s="10"/>
    </row>
    <row r="73" spans="2:2" x14ac:dyDescent="0.3">
      <c r="B73" s="10"/>
    </row>
    <row r="74" spans="2:2" x14ac:dyDescent="0.3">
      <c r="B74" s="10"/>
    </row>
    <row r="75" spans="2:2" x14ac:dyDescent="0.3">
      <c r="B75" s="10"/>
    </row>
    <row r="76" spans="2:2" x14ac:dyDescent="0.3">
      <c r="B76" s="10"/>
    </row>
    <row r="77" spans="2:2" x14ac:dyDescent="0.3">
      <c r="B77" s="10"/>
    </row>
    <row r="78" spans="2:2" x14ac:dyDescent="0.3">
      <c r="B78" s="10"/>
    </row>
    <row r="79" spans="2:2" x14ac:dyDescent="0.3">
      <c r="B79" s="10"/>
    </row>
    <row r="80" spans="2:2" x14ac:dyDescent="0.3">
      <c r="B80" s="10"/>
    </row>
    <row r="81" spans="2:2" x14ac:dyDescent="0.3">
      <c r="B81" s="10"/>
    </row>
    <row r="82" spans="2:2" x14ac:dyDescent="0.3">
      <c r="B82" s="10"/>
    </row>
    <row r="83" spans="2:2" x14ac:dyDescent="0.3">
      <c r="B83" s="10"/>
    </row>
    <row r="84" spans="2:2" x14ac:dyDescent="0.3">
      <c r="B84" s="10"/>
    </row>
    <row r="85" spans="2:2" x14ac:dyDescent="0.3">
      <c r="B85" s="10"/>
    </row>
    <row r="86" spans="2:2" x14ac:dyDescent="0.3">
      <c r="B86" s="10"/>
    </row>
    <row r="87" spans="2:2" x14ac:dyDescent="0.3">
      <c r="B87" s="10"/>
    </row>
    <row r="88" spans="2:2" x14ac:dyDescent="0.3">
      <c r="B88" s="10"/>
    </row>
    <row r="89" spans="2:2" x14ac:dyDescent="0.3">
      <c r="B89" s="10"/>
    </row>
    <row r="90" spans="2:2" x14ac:dyDescent="0.3">
      <c r="B90" s="10"/>
    </row>
    <row r="91" spans="2:2" x14ac:dyDescent="0.3">
      <c r="B91" s="10"/>
    </row>
    <row r="92" spans="2:2" x14ac:dyDescent="0.3">
      <c r="B92" s="10"/>
    </row>
    <row r="93" spans="2:2" x14ac:dyDescent="0.3">
      <c r="B93" s="10"/>
    </row>
    <row r="94" spans="2:2" x14ac:dyDescent="0.3">
      <c r="B94" s="10"/>
    </row>
    <row r="95" spans="2:2" x14ac:dyDescent="0.3">
      <c r="B95" s="10"/>
    </row>
    <row r="96" spans="2:2" x14ac:dyDescent="0.3">
      <c r="B96" s="10"/>
    </row>
    <row r="97" spans="2:2" x14ac:dyDescent="0.3">
      <c r="B97" s="10"/>
    </row>
    <row r="98" spans="2:2" x14ac:dyDescent="0.3">
      <c r="B98" s="10"/>
    </row>
    <row r="99" spans="2:2" x14ac:dyDescent="0.3">
      <c r="B99" s="10"/>
    </row>
    <row r="100" spans="2:2" x14ac:dyDescent="0.3">
      <c r="B100" s="10"/>
    </row>
    <row r="101" spans="2:2" x14ac:dyDescent="0.3">
      <c r="B101" s="10"/>
    </row>
    <row r="102" spans="2:2" x14ac:dyDescent="0.3">
      <c r="B102" s="10"/>
    </row>
    <row r="103" spans="2:2" x14ac:dyDescent="0.3">
      <c r="B103" s="10"/>
    </row>
    <row r="104" spans="2:2" x14ac:dyDescent="0.3">
      <c r="B104" s="10"/>
    </row>
    <row r="105" spans="2:2" x14ac:dyDescent="0.3">
      <c r="B105" s="10"/>
    </row>
    <row r="106" spans="2:2" x14ac:dyDescent="0.3">
      <c r="B106" s="10"/>
    </row>
    <row r="107" spans="2:2" x14ac:dyDescent="0.3">
      <c r="B107" s="10"/>
    </row>
    <row r="108" spans="2:2" x14ac:dyDescent="0.3">
      <c r="B108" s="10"/>
    </row>
    <row r="109" spans="2:2" x14ac:dyDescent="0.3">
      <c r="B109" s="10"/>
    </row>
    <row r="110" spans="2:2" x14ac:dyDescent="0.3">
      <c r="B110" s="10"/>
    </row>
    <row r="111" spans="2:2" x14ac:dyDescent="0.3">
      <c r="B111" s="10"/>
    </row>
    <row r="112" spans="2:2" x14ac:dyDescent="0.3">
      <c r="B112" s="10"/>
    </row>
    <row r="113" spans="2:2" x14ac:dyDescent="0.3">
      <c r="B113" s="10"/>
    </row>
    <row r="114" spans="2:2" x14ac:dyDescent="0.3">
      <c r="B114" s="10"/>
    </row>
    <row r="115" spans="2:2" x14ac:dyDescent="0.3">
      <c r="B115" s="10"/>
    </row>
    <row r="116" spans="2:2" x14ac:dyDescent="0.3">
      <c r="B116" s="10"/>
    </row>
    <row r="117" spans="2:2" x14ac:dyDescent="0.3">
      <c r="B117" s="10"/>
    </row>
    <row r="118" spans="2:2" x14ac:dyDescent="0.3">
      <c r="B118" s="10"/>
    </row>
    <row r="119" spans="2:2" x14ac:dyDescent="0.3">
      <c r="B119" s="10"/>
    </row>
    <row r="120" spans="2:2" x14ac:dyDescent="0.3">
      <c r="B120" s="10"/>
    </row>
    <row r="121" spans="2:2" x14ac:dyDescent="0.3">
      <c r="B121" s="10"/>
    </row>
    <row r="122" spans="2:2" x14ac:dyDescent="0.3">
      <c r="B122" s="10"/>
    </row>
    <row r="123" spans="2:2" x14ac:dyDescent="0.3">
      <c r="B123" s="10"/>
    </row>
    <row r="124" spans="2:2" x14ac:dyDescent="0.3">
      <c r="B124" s="10"/>
    </row>
    <row r="125" spans="2:2" x14ac:dyDescent="0.3">
      <c r="B125" s="10"/>
    </row>
    <row r="126" spans="2:2" x14ac:dyDescent="0.3">
      <c r="B126" s="10"/>
    </row>
    <row r="127" spans="2:2" x14ac:dyDescent="0.3">
      <c r="B127" s="10"/>
    </row>
    <row r="128" spans="2:2" x14ac:dyDescent="0.3">
      <c r="B128" s="10"/>
    </row>
    <row r="129" spans="2:2" x14ac:dyDescent="0.3">
      <c r="B129" s="10"/>
    </row>
    <row r="130" spans="2:2" x14ac:dyDescent="0.3">
      <c r="B130" s="10"/>
    </row>
    <row r="131" spans="2:2" x14ac:dyDescent="0.3">
      <c r="B131" s="10"/>
    </row>
    <row r="132" spans="2:2" x14ac:dyDescent="0.3">
      <c r="B132" s="10"/>
    </row>
    <row r="133" spans="2:2" x14ac:dyDescent="0.3">
      <c r="B133" s="10"/>
    </row>
    <row r="134" spans="2:2" x14ac:dyDescent="0.3">
      <c r="B134" s="10"/>
    </row>
    <row r="135" spans="2:2" x14ac:dyDescent="0.3">
      <c r="B135" s="10"/>
    </row>
    <row r="136" spans="2:2" x14ac:dyDescent="0.3">
      <c r="B136" s="10"/>
    </row>
    <row r="137" spans="2:2" x14ac:dyDescent="0.3">
      <c r="B137" s="10"/>
    </row>
    <row r="138" spans="2:2" x14ac:dyDescent="0.3">
      <c r="B138" s="10"/>
    </row>
    <row r="139" spans="2:2" x14ac:dyDescent="0.3">
      <c r="B139" s="10"/>
    </row>
    <row r="140" spans="2:2" x14ac:dyDescent="0.3">
      <c r="B140" s="1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46"/>
  <sheetViews>
    <sheetView workbookViewId="0">
      <selection activeCell="K16" sqref="K16"/>
    </sheetView>
  </sheetViews>
  <sheetFormatPr defaultRowHeight="14.4" x14ac:dyDescent="0.3"/>
  <sheetData>
    <row r="1" spans="1:19" s="5" customFormat="1" x14ac:dyDescent="0.3">
      <c r="A1" s="5" t="s">
        <v>0</v>
      </c>
      <c r="D1" s="5" t="s">
        <v>48</v>
      </c>
      <c r="L1" s="5" t="s">
        <v>49</v>
      </c>
    </row>
    <row r="2" spans="1:19" x14ac:dyDescent="0.3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</row>
    <row r="3" spans="1:19" x14ac:dyDescent="0.3">
      <c r="A3">
        <v>1880</v>
      </c>
      <c r="B3">
        <v>-0.18</v>
      </c>
      <c r="C3">
        <v>-0.25</v>
      </c>
      <c r="D3">
        <v>-0.09</v>
      </c>
      <c r="E3">
        <v>-0.16</v>
      </c>
      <c r="F3">
        <v>-0.1</v>
      </c>
      <c r="G3">
        <v>-0.21</v>
      </c>
      <c r="H3">
        <v>-0.18</v>
      </c>
      <c r="I3">
        <v>-0.1</v>
      </c>
      <c r="J3">
        <v>-0.15</v>
      </c>
      <c r="K3">
        <v>-0.23</v>
      </c>
      <c r="L3">
        <v>-0.22</v>
      </c>
      <c r="M3">
        <v>-0.17</v>
      </c>
      <c r="N3">
        <v>-0.17</v>
      </c>
      <c r="O3" t="s">
        <v>20</v>
      </c>
      <c r="P3" t="s">
        <v>20</v>
      </c>
      <c r="Q3">
        <v>-0.12</v>
      </c>
      <c r="R3">
        <v>-0.16</v>
      </c>
      <c r="S3">
        <v>-0.2</v>
      </c>
    </row>
    <row r="4" spans="1:19" x14ac:dyDescent="0.3">
      <c r="A4">
        <v>1881</v>
      </c>
      <c r="B4">
        <v>-0.2</v>
      </c>
      <c r="C4">
        <v>-0.14000000000000001</v>
      </c>
      <c r="D4">
        <v>0.03</v>
      </c>
      <c r="E4">
        <v>0.05</v>
      </c>
      <c r="F4">
        <v>0.06</v>
      </c>
      <c r="G4">
        <v>-0.19</v>
      </c>
      <c r="H4">
        <v>0</v>
      </c>
      <c r="I4">
        <v>-0.04</v>
      </c>
      <c r="J4">
        <v>-0.15</v>
      </c>
      <c r="K4">
        <v>-0.22</v>
      </c>
      <c r="L4">
        <v>-0.19</v>
      </c>
      <c r="M4">
        <v>-7.0000000000000007E-2</v>
      </c>
      <c r="N4">
        <v>-0.09</v>
      </c>
      <c r="O4">
        <v>-0.1</v>
      </c>
      <c r="P4">
        <v>-0.17</v>
      </c>
      <c r="Q4">
        <v>0.05</v>
      </c>
      <c r="R4">
        <v>-7.0000000000000007E-2</v>
      </c>
      <c r="S4">
        <v>-0.19</v>
      </c>
    </row>
    <row r="5" spans="1:19" x14ac:dyDescent="0.3">
      <c r="A5">
        <v>1882</v>
      </c>
      <c r="B5">
        <v>0.16</v>
      </c>
      <c r="C5">
        <v>0.14000000000000001</v>
      </c>
      <c r="D5">
        <v>0.04</v>
      </c>
      <c r="E5">
        <v>-0.17</v>
      </c>
      <c r="F5">
        <v>-0.15</v>
      </c>
      <c r="G5">
        <v>-0.23</v>
      </c>
      <c r="H5">
        <v>-0.17</v>
      </c>
      <c r="I5">
        <v>-7.0000000000000007E-2</v>
      </c>
      <c r="J5">
        <v>-0.15</v>
      </c>
      <c r="K5">
        <v>-0.24</v>
      </c>
      <c r="L5">
        <v>-0.17</v>
      </c>
      <c r="M5">
        <v>-0.36</v>
      </c>
      <c r="N5">
        <v>-0.11</v>
      </c>
      <c r="O5">
        <v>-0.09</v>
      </c>
      <c r="P5">
        <v>7.0000000000000007E-2</v>
      </c>
      <c r="Q5">
        <v>-0.09</v>
      </c>
      <c r="R5">
        <v>-0.16</v>
      </c>
      <c r="S5">
        <v>-0.18</v>
      </c>
    </row>
    <row r="6" spans="1:19" x14ac:dyDescent="0.3">
      <c r="A6">
        <v>1883</v>
      </c>
      <c r="B6">
        <v>-0.28999999999999998</v>
      </c>
      <c r="C6">
        <v>-0.37</v>
      </c>
      <c r="D6">
        <v>-0.12</v>
      </c>
      <c r="E6">
        <v>-0.18</v>
      </c>
      <c r="F6">
        <v>-0.17</v>
      </c>
      <c r="G6">
        <v>-0.08</v>
      </c>
      <c r="H6">
        <v>-0.06</v>
      </c>
      <c r="I6">
        <v>-0.14000000000000001</v>
      </c>
      <c r="J6">
        <v>-0.22</v>
      </c>
      <c r="K6">
        <v>-0.11</v>
      </c>
      <c r="L6">
        <v>-0.23</v>
      </c>
      <c r="M6">
        <v>-0.11</v>
      </c>
      <c r="N6">
        <v>-0.17</v>
      </c>
      <c r="O6">
        <v>-0.19</v>
      </c>
      <c r="P6">
        <v>-0.34</v>
      </c>
      <c r="Q6">
        <v>-0.16</v>
      </c>
      <c r="R6">
        <v>-0.09</v>
      </c>
      <c r="S6">
        <v>-0.19</v>
      </c>
    </row>
    <row r="7" spans="1:19" x14ac:dyDescent="0.3">
      <c r="A7">
        <v>1884</v>
      </c>
      <c r="B7">
        <v>-0.13</v>
      </c>
      <c r="C7">
        <v>-0.09</v>
      </c>
      <c r="D7">
        <v>-0.37</v>
      </c>
      <c r="E7">
        <v>-0.4</v>
      </c>
      <c r="F7">
        <v>-0.34</v>
      </c>
      <c r="G7">
        <v>-0.35</v>
      </c>
      <c r="H7">
        <v>-0.31</v>
      </c>
      <c r="I7">
        <v>-0.28000000000000003</v>
      </c>
      <c r="J7">
        <v>-0.27</v>
      </c>
      <c r="K7">
        <v>-0.25</v>
      </c>
      <c r="L7">
        <v>-0.33</v>
      </c>
      <c r="M7">
        <v>-0.31</v>
      </c>
      <c r="N7">
        <v>-0.28000000000000003</v>
      </c>
      <c r="O7">
        <v>-0.27</v>
      </c>
      <c r="P7">
        <v>-0.11</v>
      </c>
      <c r="Q7">
        <v>-0.37</v>
      </c>
      <c r="R7">
        <v>-0.31</v>
      </c>
      <c r="S7">
        <v>-0.28000000000000003</v>
      </c>
    </row>
    <row r="8" spans="1:19" x14ac:dyDescent="0.3">
      <c r="A8">
        <v>1885</v>
      </c>
      <c r="B8">
        <v>-0.59</v>
      </c>
      <c r="C8">
        <v>-0.34</v>
      </c>
      <c r="D8">
        <v>-0.26</v>
      </c>
      <c r="E8">
        <v>-0.42</v>
      </c>
      <c r="F8">
        <v>-0.45</v>
      </c>
      <c r="G8">
        <v>-0.43</v>
      </c>
      <c r="H8">
        <v>-0.34</v>
      </c>
      <c r="I8">
        <v>-0.31</v>
      </c>
      <c r="J8">
        <v>-0.28999999999999998</v>
      </c>
      <c r="K8">
        <v>-0.23</v>
      </c>
      <c r="L8">
        <v>-0.24</v>
      </c>
      <c r="M8">
        <v>-0.1</v>
      </c>
      <c r="N8">
        <v>-0.33</v>
      </c>
      <c r="O8">
        <v>-0.35</v>
      </c>
      <c r="P8">
        <v>-0.41</v>
      </c>
      <c r="Q8">
        <v>-0.38</v>
      </c>
      <c r="R8">
        <v>-0.36</v>
      </c>
      <c r="S8">
        <v>-0.25</v>
      </c>
    </row>
    <row r="9" spans="1:19" x14ac:dyDescent="0.3">
      <c r="A9">
        <v>1886</v>
      </c>
      <c r="B9">
        <v>-0.44</v>
      </c>
      <c r="C9">
        <v>-0.51</v>
      </c>
      <c r="D9">
        <v>-0.43</v>
      </c>
      <c r="E9">
        <v>-0.28000000000000003</v>
      </c>
      <c r="F9">
        <v>-0.24</v>
      </c>
      <c r="G9">
        <v>-0.35</v>
      </c>
      <c r="H9">
        <v>-0.18</v>
      </c>
      <c r="I9">
        <v>-0.31</v>
      </c>
      <c r="J9">
        <v>-0.24</v>
      </c>
      <c r="K9">
        <v>-0.28000000000000003</v>
      </c>
      <c r="L9">
        <v>-0.27</v>
      </c>
      <c r="M9">
        <v>-0.25</v>
      </c>
      <c r="N9">
        <v>-0.31</v>
      </c>
      <c r="O9">
        <v>-0.3</v>
      </c>
      <c r="P9">
        <v>-0.35</v>
      </c>
      <c r="Q9">
        <v>-0.32</v>
      </c>
      <c r="R9">
        <v>-0.28000000000000003</v>
      </c>
      <c r="S9">
        <v>-0.26</v>
      </c>
    </row>
    <row r="10" spans="1:19" x14ac:dyDescent="0.3">
      <c r="A10">
        <v>1887</v>
      </c>
      <c r="B10">
        <v>-0.72</v>
      </c>
      <c r="C10">
        <v>-0.56999999999999995</v>
      </c>
      <c r="D10">
        <v>-0.36</v>
      </c>
      <c r="E10">
        <v>-0.35</v>
      </c>
      <c r="F10">
        <v>-0.31</v>
      </c>
      <c r="G10">
        <v>-0.24</v>
      </c>
      <c r="H10">
        <v>-0.26</v>
      </c>
      <c r="I10">
        <v>-0.35</v>
      </c>
      <c r="J10">
        <v>-0.26</v>
      </c>
      <c r="K10">
        <v>-0.35</v>
      </c>
      <c r="L10">
        <v>-0.26</v>
      </c>
      <c r="M10">
        <v>-0.33</v>
      </c>
      <c r="N10">
        <v>-0.36</v>
      </c>
      <c r="O10">
        <v>-0.36</v>
      </c>
      <c r="P10">
        <v>-0.51</v>
      </c>
      <c r="Q10">
        <v>-0.34</v>
      </c>
      <c r="R10">
        <v>-0.28999999999999998</v>
      </c>
      <c r="S10">
        <v>-0.28999999999999998</v>
      </c>
    </row>
    <row r="11" spans="1:19" x14ac:dyDescent="0.3">
      <c r="A11">
        <v>1888</v>
      </c>
      <c r="B11">
        <v>-0.34</v>
      </c>
      <c r="C11">
        <v>-0.36</v>
      </c>
      <c r="D11">
        <v>-0.41</v>
      </c>
      <c r="E11">
        <v>-0.2</v>
      </c>
      <c r="F11">
        <v>-0.22</v>
      </c>
      <c r="G11">
        <v>-0.17</v>
      </c>
      <c r="H11">
        <v>-0.1</v>
      </c>
      <c r="I11">
        <v>-0.16</v>
      </c>
      <c r="J11">
        <v>-0.12</v>
      </c>
      <c r="K11">
        <v>0.01</v>
      </c>
      <c r="L11">
        <v>0.03</v>
      </c>
      <c r="M11">
        <v>-0.04</v>
      </c>
      <c r="N11">
        <v>-0.17</v>
      </c>
      <c r="O11">
        <v>-0.2</v>
      </c>
      <c r="P11">
        <v>-0.34</v>
      </c>
      <c r="Q11">
        <v>-0.28000000000000003</v>
      </c>
      <c r="R11">
        <v>-0.14000000000000001</v>
      </c>
      <c r="S11">
        <v>-0.03</v>
      </c>
    </row>
    <row r="12" spans="1:19" x14ac:dyDescent="0.3">
      <c r="A12">
        <v>1889</v>
      </c>
      <c r="B12">
        <v>-0.09</v>
      </c>
      <c r="C12">
        <v>0.16</v>
      </c>
      <c r="D12">
        <v>0.06</v>
      </c>
      <c r="E12">
        <v>0.09</v>
      </c>
      <c r="F12">
        <v>-0.01</v>
      </c>
      <c r="G12">
        <v>-0.1</v>
      </c>
      <c r="H12">
        <v>-0.08</v>
      </c>
      <c r="I12">
        <v>-0.2</v>
      </c>
      <c r="J12">
        <v>-0.24</v>
      </c>
      <c r="K12">
        <v>-0.25</v>
      </c>
      <c r="L12">
        <v>-0.34</v>
      </c>
      <c r="M12">
        <v>-0.28999999999999998</v>
      </c>
      <c r="N12">
        <v>-0.11</v>
      </c>
      <c r="O12">
        <v>-0.09</v>
      </c>
      <c r="P12">
        <v>0.01</v>
      </c>
      <c r="Q12">
        <v>0.05</v>
      </c>
      <c r="R12">
        <v>-0.13</v>
      </c>
      <c r="S12">
        <v>-0.28000000000000003</v>
      </c>
    </row>
    <row r="13" spans="1:19" x14ac:dyDescent="0.3">
      <c r="A13">
        <v>1890</v>
      </c>
      <c r="B13">
        <v>-0.42</v>
      </c>
      <c r="C13">
        <v>-0.45</v>
      </c>
      <c r="D13">
        <v>-0.4</v>
      </c>
      <c r="E13">
        <v>-0.3</v>
      </c>
      <c r="F13">
        <v>-0.4</v>
      </c>
      <c r="G13">
        <v>-0.25</v>
      </c>
      <c r="H13">
        <v>-0.28000000000000003</v>
      </c>
      <c r="I13">
        <v>-0.39</v>
      </c>
      <c r="J13">
        <v>-0.37</v>
      </c>
      <c r="K13">
        <v>-0.25</v>
      </c>
      <c r="L13">
        <v>-0.43</v>
      </c>
      <c r="M13">
        <v>-0.31</v>
      </c>
      <c r="N13">
        <v>-0.35</v>
      </c>
      <c r="O13">
        <v>-0.35</v>
      </c>
      <c r="P13">
        <v>-0.39</v>
      </c>
      <c r="Q13">
        <v>-0.37</v>
      </c>
      <c r="R13">
        <v>-0.31</v>
      </c>
      <c r="S13">
        <v>-0.35</v>
      </c>
    </row>
    <row r="14" spans="1:19" x14ac:dyDescent="0.3">
      <c r="A14">
        <v>1891</v>
      </c>
      <c r="B14">
        <v>-0.34</v>
      </c>
      <c r="C14">
        <v>-0.47</v>
      </c>
      <c r="D14">
        <v>-0.18</v>
      </c>
      <c r="E14">
        <v>-0.27</v>
      </c>
      <c r="F14">
        <v>-0.16</v>
      </c>
      <c r="G14">
        <v>-0.21</v>
      </c>
      <c r="H14">
        <v>-0.18</v>
      </c>
      <c r="I14">
        <v>-0.17</v>
      </c>
      <c r="J14">
        <v>-0.16</v>
      </c>
      <c r="K14">
        <v>-0.22</v>
      </c>
      <c r="L14">
        <v>-0.32</v>
      </c>
      <c r="M14">
        <v>-0.04</v>
      </c>
      <c r="N14">
        <v>-0.23</v>
      </c>
      <c r="O14">
        <v>-0.25</v>
      </c>
      <c r="P14">
        <v>-0.37</v>
      </c>
      <c r="Q14">
        <v>-0.21</v>
      </c>
      <c r="R14">
        <v>-0.19</v>
      </c>
      <c r="S14">
        <v>-0.23</v>
      </c>
    </row>
    <row r="15" spans="1:19" x14ac:dyDescent="0.3">
      <c r="A15">
        <v>1892</v>
      </c>
      <c r="B15">
        <v>-0.3</v>
      </c>
      <c r="C15">
        <v>-0.11</v>
      </c>
      <c r="D15">
        <v>-0.4</v>
      </c>
      <c r="E15">
        <v>-0.34</v>
      </c>
      <c r="F15">
        <v>-0.24</v>
      </c>
      <c r="G15">
        <v>-0.22</v>
      </c>
      <c r="H15">
        <v>-0.32</v>
      </c>
      <c r="I15">
        <v>-0.27</v>
      </c>
      <c r="J15">
        <v>-0.17</v>
      </c>
      <c r="K15">
        <v>-0.14000000000000001</v>
      </c>
      <c r="L15">
        <v>-0.42</v>
      </c>
      <c r="M15">
        <v>-0.38</v>
      </c>
      <c r="N15">
        <v>-0.28000000000000003</v>
      </c>
      <c r="O15">
        <v>-0.25</v>
      </c>
      <c r="P15">
        <v>-0.15</v>
      </c>
      <c r="Q15">
        <v>-0.32</v>
      </c>
      <c r="R15">
        <v>-0.27</v>
      </c>
      <c r="S15">
        <v>-0.25</v>
      </c>
    </row>
    <row r="16" spans="1:19" x14ac:dyDescent="0.3">
      <c r="A16">
        <v>1893</v>
      </c>
      <c r="B16">
        <v>-0.82</v>
      </c>
      <c r="C16">
        <v>-0.56999999999999995</v>
      </c>
      <c r="D16">
        <v>-0.23</v>
      </c>
      <c r="E16">
        <v>-0.27</v>
      </c>
      <c r="F16">
        <v>-0.34</v>
      </c>
      <c r="G16">
        <v>-0.26</v>
      </c>
      <c r="H16">
        <v>-0.14000000000000001</v>
      </c>
      <c r="I16">
        <v>-0.25</v>
      </c>
      <c r="J16">
        <v>-0.23</v>
      </c>
      <c r="K16">
        <v>-0.19</v>
      </c>
      <c r="L16">
        <v>-0.19</v>
      </c>
      <c r="M16">
        <v>-0.34</v>
      </c>
      <c r="N16">
        <v>-0.32</v>
      </c>
      <c r="O16">
        <v>-0.32</v>
      </c>
      <c r="P16">
        <v>-0.59</v>
      </c>
      <c r="Q16">
        <v>-0.28000000000000003</v>
      </c>
      <c r="R16">
        <v>-0.22</v>
      </c>
      <c r="S16">
        <v>-0.2</v>
      </c>
    </row>
    <row r="17" spans="1:19" x14ac:dyDescent="0.3">
      <c r="A17">
        <v>1894</v>
      </c>
      <c r="B17">
        <v>-0.53</v>
      </c>
      <c r="C17">
        <v>-0.31</v>
      </c>
      <c r="D17">
        <v>-0.24</v>
      </c>
      <c r="E17">
        <v>-0.46</v>
      </c>
      <c r="F17">
        <v>-0.32</v>
      </c>
      <c r="G17">
        <v>-0.41</v>
      </c>
      <c r="H17">
        <v>-0.25</v>
      </c>
      <c r="I17">
        <v>-0.25</v>
      </c>
      <c r="J17">
        <v>-0.28999999999999998</v>
      </c>
      <c r="K17">
        <v>-0.24</v>
      </c>
      <c r="L17">
        <v>-0.27</v>
      </c>
      <c r="M17">
        <v>-0.23</v>
      </c>
      <c r="N17">
        <v>-0.32</v>
      </c>
      <c r="O17">
        <v>-0.33</v>
      </c>
      <c r="P17">
        <v>-0.39</v>
      </c>
      <c r="Q17">
        <v>-0.34</v>
      </c>
      <c r="R17">
        <v>-0.3</v>
      </c>
      <c r="S17">
        <v>-0.27</v>
      </c>
    </row>
    <row r="18" spans="1:19" x14ac:dyDescent="0.3">
      <c r="A18">
        <v>1895</v>
      </c>
      <c r="B18">
        <v>-0.43</v>
      </c>
      <c r="C18">
        <v>-0.43</v>
      </c>
      <c r="D18">
        <v>-0.34</v>
      </c>
      <c r="E18">
        <v>-0.23</v>
      </c>
      <c r="F18">
        <v>-0.28000000000000003</v>
      </c>
      <c r="G18">
        <v>-0.21</v>
      </c>
      <c r="H18">
        <v>-0.18</v>
      </c>
      <c r="I18">
        <v>-0.18</v>
      </c>
      <c r="J18">
        <v>-0.12</v>
      </c>
      <c r="K18">
        <v>-0.1</v>
      </c>
      <c r="L18">
        <v>-0.17</v>
      </c>
      <c r="M18">
        <v>-0.14000000000000001</v>
      </c>
      <c r="N18">
        <v>-0.23</v>
      </c>
      <c r="O18">
        <v>-0.24</v>
      </c>
      <c r="P18">
        <v>-0.36</v>
      </c>
      <c r="Q18">
        <v>-0.28000000000000003</v>
      </c>
      <c r="R18">
        <v>-0.19</v>
      </c>
      <c r="S18">
        <v>-0.13</v>
      </c>
    </row>
    <row r="19" spans="1:19" x14ac:dyDescent="0.3">
      <c r="A19">
        <v>1896</v>
      </c>
      <c r="B19">
        <v>-0.22</v>
      </c>
      <c r="C19">
        <v>-0.12</v>
      </c>
      <c r="D19">
        <v>-0.26</v>
      </c>
      <c r="E19">
        <v>-0.3</v>
      </c>
      <c r="F19">
        <v>-0.15</v>
      </c>
      <c r="G19">
        <v>-0.1</v>
      </c>
      <c r="H19">
        <v>-0.02</v>
      </c>
      <c r="I19">
        <v>-0.05</v>
      </c>
      <c r="J19">
        <v>-7.0000000000000007E-2</v>
      </c>
      <c r="K19">
        <v>0.06</v>
      </c>
      <c r="L19">
        <v>-0.04</v>
      </c>
      <c r="M19">
        <v>-0.04</v>
      </c>
      <c r="N19">
        <v>-0.11</v>
      </c>
      <c r="O19">
        <v>-0.12</v>
      </c>
      <c r="P19">
        <v>-0.16</v>
      </c>
      <c r="Q19">
        <v>-0.24</v>
      </c>
      <c r="R19">
        <v>-0.06</v>
      </c>
      <c r="S19">
        <v>-0.02</v>
      </c>
    </row>
    <row r="20" spans="1:19" x14ac:dyDescent="0.3">
      <c r="A20">
        <v>1897</v>
      </c>
      <c r="B20">
        <v>-0.15</v>
      </c>
      <c r="C20">
        <v>-0.17</v>
      </c>
      <c r="D20">
        <v>-0.13</v>
      </c>
      <c r="E20">
        <v>-0.02</v>
      </c>
      <c r="F20">
        <v>-0.01</v>
      </c>
      <c r="G20">
        <v>-0.11</v>
      </c>
      <c r="H20">
        <v>-0.02</v>
      </c>
      <c r="I20">
        <v>-0.09</v>
      </c>
      <c r="J20">
        <v>-0.08</v>
      </c>
      <c r="K20">
        <v>-0.12</v>
      </c>
      <c r="L20">
        <v>-0.17</v>
      </c>
      <c r="M20">
        <v>-0.2</v>
      </c>
      <c r="N20">
        <v>-0.11</v>
      </c>
      <c r="O20">
        <v>-0.09</v>
      </c>
      <c r="P20">
        <v>-0.12</v>
      </c>
      <c r="Q20">
        <v>-0.06</v>
      </c>
      <c r="R20">
        <v>-0.08</v>
      </c>
      <c r="S20">
        <v>-0.13</v>
      </c>
    </row>
    <row r="21" spans="1:19" x14ac:dyDescent="0.3">
      <c r="A21">
        <v>1898</v>
      </c>
      <c r="B21">
        <v>-0.02</v>
      </c>
      <c r="C21">
        <v>-0.3</v>
      </c>
      <c r="D21">
        <v>-0.51</v>
      </c>
      <c r="E21">
        <v>-0.3</v>
      </c>
      <c r="F21">
        <v>-0.3</v>
      </c>
      <c r="G21">
        <v>-0.19</v>
      </c>
      <c r="H21">
        <v>-0.23</v>
      </c>
      <c r="I21">
        <v>-0.27</v>
      </c>
      <c r="J21">
        <v>-0.22</v>
      </c>
      <c r="K21">
        <v>-0.34</v>
      </c>
      <c r="L21">
        <v>-0.38</v>
      </c>
      <c r="M21">
        <v>-0.23</v>
      </c>
      <c r="N21">
        <v>-0.27</v>
      </c>
      <c r="O21">
        <v>-0.27</v>
      </c>
      <c r="P21">
        <v>-0.17</v>
      </c>
      <c r="Q21">
        <v>-0.37</v>
      </c>
      <c r="R21">
        <v>-0.23</v>
      </c>
      <c r="S21">
        <v>-0.31</v>
      </c>
    </row>
    <row r="22" spans="1:19" x14ac:dyDescent="0.3">
      <c r="A22">
        <v>1899</v>
      </c>
      <c r="B22">
        <v>-0.17</v>
      </c>
      <c r="C22">
        <v>-0.39</v>
      </c>
      <c r="D22">
        <v>-0.36</v>
      </c>
      <c r="E22">
        <v>-0.21</v>
      </c>
      <c r="F22">
        <v>-0.24</v>
      </c>
      <c r="G22">
        <v>-0.32</v>
      </c>
      <c r="H22">
        <v>-0.16</v>
      </c>
      <c r="I22">
        <v>-0.08</v>
      </c>
      <c r="J22">
        <v>-0.05</v>
      </c>
      <c r="K22">
        <v>-0.04</v>
      </c>
      <c r="L22">
        <v>0.13</v>
      </c>
      <c r="M22">
        <v>-0.26</v>
      </c>
      <c r="N22">
        <v>-0.18</v>
      </c>
      <c r="O22">
        <v>-0.18</v>
      </c>
      <c r="P22">
        <v>-0.26</v>
      </c>
      <c r="Q22">
        <v>-0.27</v>
      </c>
      <c r="R22">
        <v>-0.19</v>
      </c>
      <c r="S22">
        <v>0.01</v>
      </c>
    </row>
    <row r="23" spans="1:19" x14ac:dyDescent="0.3">
      <c r="A23">
        <v>1900</v>
      </c>
      <c r="B23">
        <v>-0.36</v>
      </c>
      <c r="C23">
        <v>-0.05</v>
      </c>
      <c r="D23">
        <v>0.01</v>
      </c>
      <c r="E23">
        <v>-0.08</v>
      </c>
      <c r="F23">
        <v>-0.08</v>
      </c>
      <c r="G23">
        <v>-0.09</v>
      </c>
      <c r="H23">
        <v>-0.12</v>
      </c>
      <c r="I23">
        <v>-0.08</v>
      </c>
      <c r="J23">
        <v>-0.05</v>
      </c>
      <c r="K23">
        <v>0.1</v>
      </c>
      <c r="L23">
        <v>-0.06</v>
      </c>
      <c r="M23">
        <v>-0.06</v>
      </c>
      <c r="N23">
        <v>-0.08</v>
      </c>
      <c r="O23">
        <v>-0.1</v>
      </c>
      <c r="P23">
        <v>-0.22</v>
      </c>
      <c r="Q23">
        <v>-0.05</v>
      </c>
      <c r="R23">
        <v>-0.1</v>
      </c>
      <c r="S23">
        <v>0</v>
      </c>
    </row>
    <row r="24" spans="1:19" x14ac:dyDescent="0.3">
      <c r="A24">
        <v>1901</v>
      </c>
      <c r="B24">
        <v>-0.21</v>
      </c>
      <c r="C24">
        <v>-0.1</v>
      </c>
      <c r="D24">
        <v>0.06</v>
      </c>
      <c r="E24">
        <v>-0.03</v>
      </c>
      <c r="F24">
        <v>-0.15</v>
      </c>
      <c r="G24">
        <v>-0.11</v>
      </c>
      <c r="H24">
        <v>-0.14000000000000001</v>
      </c>
      <c r="I24">
        <v>-0.2</v>
      </c>
      <c r="J24">
        <v>-0.22</v>
      </c>
      <c r="K24">
        <v>-0.28999999999999998</v>
      </c>
      <c r="L24">
        <v>-0.17</v>
      </c>
      <c r="M24">
        <v>-0.27</v>
      </c>
      <c r="N24">
        <v>-0.15</v>
      </c>
      <c r="O24">
        <v>-0.14000000000000001</v>
      </c>
      <c r="P24">
        <v>-0.13</v>
      </c>
      <c r="Q24">
        <v>-0.04</v>
      </c>
      <c r="R24">
        <v>-0.15</v>
      </c>
      <c r="S24">
        <v>-0.23</v>
      </c>
    </row>
    <row r="25" spans="1:19" x14ac:dyDescent="0.3">
      <c r="A25">
        <v>1902</v>
      </c>
      <c r="B25">
        <v>-0.18</v>
      </c>
      <c r="C25">
        <v>-0.06</v>
      </c>
      <c r="D25">
        <v>-0.27</v>
      </c>
      <c r="E25">
        <v>-0.27</v>
      </c>
      <c r="F25">
        <v>-0.31</v>
      </c>
      <c r="G25">
        <v>-0.28999999999999998</v>
      </c>
      <c r="H25">
        <v>-0.27</v>
      </c>
      <c r="I25">
        <v>-0.28999999999999998</v>
      </c>
      <c r="J25">
        <v>-0.28000000000000003</v>
      </c>
      <c r="K25">
        <v>-0.28000000000000003</v>
      </c>
      <c r="L25">
        <v>-0.34</v>
      </c>
      <c r="M25">
        <v>-0.41</v>
      </c>
      <c r="N25">
        <v>-0.27</v>
      </c>
      <c r="O25">
        <v>-0.26</v>
      </c>
      <c r="P25">
        <v>-0.17</v>
      </c>
      <c r="Q25">
        <v>-0.28000000000000003</v>
      </c>
      <c r="R25">
        <v>-0.28999999999999998</v>
      </c>
      <c r="S25">
        <v>-0.3</v>
      </c>
    </row>
    <row r="26" spans="1:19" x14ac:dyDescent="0.3">
      <c r="A26">
        <v>1903</v>
      </c>
      <c r="B26">
        <v>-0.23</v>
      </c>
      <c r="C26">
        <v>-0.05</v>
      </c>
      <c r="D26">
        <v>-0.21</v>
      </c>
      <c r="E26">
        <v>-0.4</v>
      </c>
      <c r="F26">
        <v>-0.39</v>
      </c>
      <c r="G26">
        <v>-0.41</v>
      </c>
      <c r="H26">
        <v>-0.34</v>
      </c>
      <c r="I26">
        <v>-0.45</v>
      </c>
      <c r="J26">
        <v>-0.49</v>
      </c>
      <c r="K26">
        <v>-0.47</v>
      </c>
      <c r="L26">
        <v>-0.42</v>
      </c>
      <c r="M26">
        <v>-0.5</v>
      </c>
      <c r="N26">
        <v>-0.36</v>
      </c>
      <c r="O26">
        <v>-0.36</v>
      </c>
      <c r="P26">
        <v>-0.23</v>
      </c>
      <c r="Q26">
        <v>-0.33</v>
      </c>
      <c r="R26">
        <v>-0.4</v>
      </c>
      <c r="S26">
        <v>-0.46</v>
      </c>
    </row>
    <row r="27" spans="1:19" x14ac:dyDescent="0.3">
      <c r="A27">
        <v>1904</v>
      </c>
      <c r="B27">
        <v>-0.63</v>
      </c>
      <c r="C27">
        <v>-0.56999999999999995</v>
      </c>
      <c r="D27">
        <v>-0.47</v>
      </c>
      <c r="E27">
        <v>-0.5</v>
      </c>
      <c r="F27">
        <v>-0.51</v>
      </c>
      <c r="G27">
        <v>-0.48</v>
      </c>
      <c r="H27">
        <v>-0.51</v>
      </c>
      <c r="I27">
        <v>-0.49</v>
      </c>
      <c r="J27">
        <v>-0.56000000000000005</v>
      </c>
      <c r="K27">
        <v>-0.38</v>
      </c>
      <c r="L27">
        <v>-0.17</v>
      </c>
      <c r="M27">
        <v>-0.33</v>
      </c>
      <c r="N27">
        <v>-0.47</v>
      </c>
      <c r="O27">
        <v>-0.48</v>
      </c>
      <c r="P27">
        <v>-0.56999999999999995</v>
      </c>
      <c r="Q27">
        <v>-0.5</v>
      </c>
      <c r="R27">
        <v>-0.49</v>
      </c>
      <c r="S27">
        <v>-0.37</v>
      </c>
    </row>
    <row r="28" spans="1:19" x14ac:dyDescent="0.3">
      <c r="A28">
        <v>1905</v>
      </c>
      <c r="B28">
        <v>-0.35</v>
      </c>
      <c r="C28">
        <v>-0.59</v>
      </c>
      <c r="D28">
        <v>-0.21</v>
      </c>
      <c r="E28">
        <v>-0.33</v>
      </c>
      <c r="F28">
        <v>-0.28999999999999998</v>
      </c>
      <c r="G28">
        <v>-0.27</v>
      </c>
      <c r="H28">
        <v>-0.26</v>
      </c>
      <c r="I28">
        <v>-0.2</v>
      </c>
      <c r="J28">
        <v>-0.19</v>
      </c>
      <c r="K28">
        <v>-0.24</v>
      </c>
      <c r="L28">
        <v>-0.06</v>
      </c>
      <c r="M28">
        <v>-0.12</v>
      </c>
      <c r="N28">
        <v>-0.26</v>
      </c>
      <c r="O28">
        <v>-0.28000000000000003</v>
      </c>
      <c r="P28">
        <v>-0.42</v>
      </c>
      <c r="Q28">
        <v>-0.28000000000000003</v>
      </c>
      <c r="R28">
        <v>-0.24</v>
      </c>
      <c r="S28">
        <v>-0.16</v>
      </c>
    </row>
    <row r="29" spans="1:19" x14ac:dyDescent="0.3">
      <c r="A29">
        <v>1906</v>
      </c>
      <c r="B29">
        <v>-0.28000000000000003</v>
      </c>
      <c r="C29">
        <v>-0.28999999999999998</v>
      </c>
      <c r="D29">
        <v>-0.18</v>
      </c>
      <c r="E29">
        <v>-0.04</v>
      </c>
      <c r="F29">
        <v>-0.25</v>
      </c>
      <c r="G29">
        <v>-0.19</v>
      </c>
      <c r="H29">
        <v>-0.22</v>
      </c>
      <c r="I29">
        <v>-0.19</v>
      </c>
      <c r="J29">
        <v>-0.28000000000000003</v>
      </c>
      <c r="K29">
        <v>-0.19</v>
      </c>
      <c r="L29">
        <v>-0.37</v>
      </c>
      <c r="M29">
        <v>-0.14000000000000001</v>
      </c>
      <c r="N29">
        <v>-0.22</v>
      </c>
      <c r="O29">
        <v>-0.22</v>
      </c>
      <c r="P29">
        <v>-0.23</v>
      </c>
      <c r="Q29">
        <v>-0.16</v>
      </c>
      <c r="R29">
        <v>-0.2</v>
      </c>
      <c r="S29">
        <v>-0.28000000000000003</v>
      </c>
    </row>
    <row r="30" spans="1:19" x14ac:dyDescent="0.3">
      <c r="A30">
        <v>1907</v>
      </c>
      <c r="B30">
        <v>-0.42</v>
      </c>
      <c r="C30">
        <v>-0.51</v>
      </c>
      <c r="D30">
        <v>-0.27</v>
      </c>
      <c r="E30">
        <v>-0.36</v>
      </c>
      <c r="F30">
        <v>-0.46</v>
      </c>
      <c r="G30">
        <v>-0.41</v>
      </c>
      <c r="H30">
        <v>-0.34</v>
      </c>
      <c r="I30">
        <v>-0.33</v>
      </c>
      <c r="J30">
        <v>-0.34</v>
      </c>
      <c r="K30">
        <v>-0.22</v>
      </c>
      <c r="L30">
        <v>-0.46</v>
      </c>
      <c r="M30">
        <v>-0.46</v>
      </c>
      <c r="N30">
        <v>-0.38</v>
      </c>
      <c r="O30">
        <v>-0.36</v>
      </c>
      <c r="P30">
        <v>-0.36</v>
      </c>
      <c r="Q30">
        <v>-0.36</v>
      </c>
      <c r="R30">
        <v>-0.36</v>
      </c>
      <c r="S30">
        <v>-0.34</v>
      </c>
    </row>
    <row r="31" spans="1:19" x14ac:dyDescent="0.3">
      <c r="A31">
        <v>1908</v>
      </c>
      <c r="B31">
        <v>-0.44</v>
      </c>
      <c r="C31">
        <v>-0.32</v>
      </c>
      <c r="D31">
        <v>-0.55000000000000004</v>
      </c>
      <c r="E31">
        <v>-0.44</v>
      </c>
      <c r="F31">
        <v>-0.37</v>
      </c>
      <c r="G31">
        <v>-0.37</v>
      </c>
      <c r="H31">
        <v>-0.35</v>
      </c>
      <c r="I31">
        <v>-0.46</v>
      </c>
      <c r="J31">
        <v>-0.35</v>
      </c>
      <c r="K31">
        <v>-0.44</v>
      </c>
      <c r="L31">
        <v>-0.52</v>
      </c>
      <c r="M31">
        <v>-0.48</v>
      </c>
      <c r="N31">
        <v>-0.42</v>
      </c>
      <c r="O31">
        <v>-0.42</v>
      </c>
      <c r="P31">
        <v>-0.41</v>
      </c>
      <c r="Q31">
        <v>-0.45</v>
      </c>
      <c r="R31">
        <v>-0.39</v>
      </c>
      <c r="S31">
        <v>-0.43</v>
      </c>
    </row>
    <row r="32" spans="1:19" x14ac:dyDescent="0.3">
      <c r="A32">
        <v>1909</v>
      </c>
      <c r="B32">
        <v>-0.72</v>
      </c>
      <c r="C32">
        <v>-0.46</v>
      </c>
      <c r="D32">
        <v>-0.54</v>
      </c>
      <c r="E32">
        <v>-0.57999999999999996</v>
      </c>
      <c r="F32">
        <v>-0.54</v>
      </c>
      <c r="G32">
        <v>-0.52</v>
      </c>
      <c r="H32">
        <v>-0.45</v>
      </c>
      <c r="I32">
        <v>-0.33</v>
      </c>
      <c r="J32">
        <v>-0.38</v>
      </c>
      <c r="K32">
        <v>-0.39</v>
      </c>
      <c r="L32">
        <v>-0.31</v>
      </c>
      <c r="M32">
        <v>-0.56000000000000005</v>
      </c>
      <c r="N32">
        <v>-0.48</v>
      </c>
      <c r="O32">
        <v>-0.48</v>
      </c>
      <c r="P32">
        <v>-0.55000000000000004</v>
      </c>
      <c r="Q32">
        <v>-0.55000000000000004</v>
      </c>
      <c r="R32">
        <v>-0.43</v>
      </c>
      <c r="S32">
        <v>-0.36</v>
      </c>
    </row>
    <row r="33" spans="1:19" x14ac:dyDescent="0.3">
      <c r="A33">
        <v>1910</v>
      </c>
      <c r="B33">
        <v>-0.42</v>
      </c>
      <c r="C33">
        <v>-0.41</v>
      </c>
      <c r="D33">
        <v>-0.5</v>
      </c>
      <c r="E33">
        <v>-0.42</v>
      </c>
      <c r="F33">
        <v>-0.33</v>
      </c>
      <c r="G33">
        <v>-0.38</v>
      </c>
      <c r="H33">
        <v>-0.34</v>
      </c>
      <c r="I33">
        <v>-0.36</v>
      </c>
      <c r="J33">
        <v>-0.39</v>
      </c>
      <c r="K33">
        <v>-0.4</v>
      </c>
      <c r="L33">
        <v>-0.55000000000000004</v>
      </c>
      <c r="M33">
        <v>-0.67</v>
      </c>
      <c r="N33">
        <v>-0.43</v>
      </c>
      <c r="O33">
        <v>-0.42</v>
      </c>
      <c r="P33">
        <v>-0.46</v>
      </c>
      <c r="Q33">
        <v>-0.42</v>
      </c>
      <c r="R33">
        <v>-0.36</v>
      </c>
      <c r="S33">
        <v>-0.45</v>
      </c>
    </row>
    <row r="34" spans="1:19" x14ac:dyDescent="0.3">
      <c r="A34">
        <v>1911</v>
      </c>
      <c r="B34">
        <v>-0.62</v>
      </c>
      <c r="C34">
        <v>-0.56999999999999995</v>
      </c>
      <c r="D34">
        <v>-0.61</v>
      </c>
      <c r="E34">
        <v>-0.53</v>
      </c>
      <c r="F34">
        <v>-0.51</v>
      </c>
      <c r="G34">
        <v>-0.5</v>
      </c>
      <c r="H34">
        <v>-0.41</v>
      </c>
      <c r="I34">
        <v>-0.44</v>
      </c>
      <c r="J34">
        <v>-0.41</v>
      </c>
      <c r="K34">
        <v>-0.26</v>
      </c>
      <c r="L34">
        <v>-0.21</v>
      </c>
      <c r="M34">
        <v>-0.21</v>
      </c>
      <c r="N34">
        <v>-0.44</v>
      </c>
      <c r="O34">
        <v>-0.48</v>
      </c>
      <c r="P34">
        <v>-0.62</v>
      </c>
      <c r="Q34">
        <v>-0.55000000000000004</v>
      </c>
      <c r="R34">
        <v>-0.45</v>
      </c>
      <c r="S34">
        <v>-0.3</v>
      </c>
    </row>
    <row r="35" spans="1:19" x14ac:dyDescent="0.3">
      <c r="A35">
        <v>1912</v>
      </c>
      <c r="B35">
        <v>-0.25</v>
      </c>
      <c r="C35">
        <v>-0.14000000000000001</v>
      </c>
      <c r="D35">
        <v>-0.37</v>
      </c>
      <c r="E35">
        <v>-0.17</v>
      </c>
      <c r="F35">
        <v>-0.21</v>
      </c>
      <c r="G35">
        <v>-0.23</v>
      </c>
      <c r="H35">
        <v>-0.42</v>
      </c>
      <c r="I35">
        <v>-0.54</v>
      </c>
      <c r="J35">
        <v>-0.56999999999999995</v>
      </c>
      <c r="K35">
        <v>-0.56999999999999995</v>
      </c>
      <c r="L35">
        <v>-0.38</v>
      </c>
      <c r="M35">
        <v>-0.43</v>
      </c>
      <c r="N35">
        <v>-0.36</v>
      </c>
      <c r="O35">
        <v>-0.34</v>
      </c>
      <c r="P35">
        <v>-0.2</v>
      </c>
      <c r="Q35">
        <v>-0.25</v>
      </c>
      <c r="R35">
        <v>-0.4</v>
      </c>
      <c r="S35">
        <v>-0.51</v>
      </c>
    </row>
    <row r="36" spans="1:19" x14ac:dyDescent="0.3">
      <c r="A36">
        <v>1913</v>
      </c>
      <c r="B36">
        <v>-0.4</v>
      </c>
      <c r="C36">
        <v>-0.44</v>
      </c>
      <c r="D36">
        <v>-0.42</v>
      </c>
      <c r="E36">
        <v>-0.39</v>
      </c>
      <c r="F36">
        <v>-0.43</v>
      </c>
      <c r="G36">
        <v>-0.44</v>
      </c>
      <c r="H36">
        <v>-0.36</v>
      </c>
      <c r="I36">
        <v>-0.33</v>
      </c>
      <c r="J36">
        <v>-0.34</v>
      </c>
      <c r="K36">
        <v>-0.32</v>
      </c>
      <c r="L36">
        <v>-0.19</v>
      </c>
      <c r="M36">
        <v>-0.02</v>
      </c>
      <c r="N36">
        <v>-0.34</v>
      </c>
      <c r="O36">
        <v>-0.37</v>
      </c>
      <c r="P36">
        <v>-0.42</v>
      </c>
      <c r="Q36">
        <v>-0.41</v>
      </c>
      <c r="R36">
        <v>-0.38</v>
      </c>
      <c r="S36">
        <v>-0.28000000000000003</v>
      </c>
    </row>
    <row r="37" spans="1:19" x14ac:dyDescent="0.3">
      <c r="A37">
        <v>1914</v>
      </c>
      <c r="B37">
        <v>0.05</v>
      </c>
      <c r="C37">
        <v>-0.09</v>
      </c>
      <c r="D37">
        <v>-0.23</v>
      </c>
      <c r="E37">
        <v>-0.28999999999999998</v>
      </c>
      <c r="F37">
        <v>-0.21</v>
      </c>
      <c r="G37">
        <v>-0.25</v>
      </c>
      <c r="H37">
        <v>-0.23</v>
      </c>
      <c r="I37">
        <v>-0.16</v>
      </c>
      <c r="J37">
        <v>-0.16</v>
      </c>
      <c r="K37">
        <v>-0.03</v>
      </c>
      <c r="L37">
        <v>-0.15</v>
      </c>
      <c r="M37">
        <v>-0.03</v>
      </c>
      <c r="N37">
        <v>-0.15</v>
      </c>
      <c r="O37">
        <v>-0.15</v>
      </c>
      <c r="P37">
        <v>-0.02</v>
      </c>
      <c r="Q37">
        <v>-0.24</v>
      </c>
      <c r="R37">
        <v>-0.21</v>
      </c>
      <c r="S37">
        <v>-0.11</v>
      </c>
    </row>
    <row r="38" spans="1:19" x14ac:dyDescent="0.3">
      <c r="A38">
        <v>1915</v>
      </c>
      <c r="B38">
        <v>-0.2</v>
      </c>
      <c r="C38">
        <v>-0.03</v>
      </c>
      <c r="D38">
        <v>-0.09</v>
      </c>
      <c r="E38">
        <v>7.0000000000000007E-2</v>
      </c>
      <c r="F38">
        <v>-0.05</v>
      </c>
      <c r="G38">
        <v>-0.21</v>
      </c>
      <c r="H38">
        <v>-0.12</v>
      </c>
      <c r="I38">
        <v>-0.22</v>
      </c>
      <c r="J38">
        <v>-0.2</v>
      </c>
      <c r="K38">
        <v>-0.24</v>
      </c>
      <c r="L38">
        <v>-0.12</v>
      </c>
      <c r="M38">
        <v>-0.21</v>
      </c>
      <c r="N38">
        <v>-0.14000000000000001</v>
      </c>
      <c r="O38">
        <v>-0.12</v>
      </c>
      <c r="P38">
        <v>-0.09</v>
      </c>
      <c r="Q38">
        <v>-0.02</v>
      </c>
      <c r="R38">
        <v>-0.18</v>
      </c>
      <c r="S38">
        <v>-0.19</v>
      </c>
    </row>
    <row r="39" spans="1:19" x14ac:dyDescent="0.3">
      <c r="A39">
        <v>1916</v>
      </c>
      <c r="B39">
        <v>-0.12</v>
      </c>
      <c r="C39">
        <v>-0.14000000000000001</v>
      </c>
      <c r="D39">
        <v>-0.27</v>
      </c>
      <c r="E39">
        <v>-0.3</v>
      </c>
      <c r="F39">
        <v>-0.34</v>
      </c>
      <c r="G39">
        <v>-0.49</v>
      </c>
      <c r="H39">
        <v>-0.36</v>
      </c>
      <c r="I39">
        <v>-0.28000000000000003</v>
      </c>
      <c r="J39">
        <v>-0.35</v>
      </c>
      <c r="K39">
        <v>-0.33</v>
      </c>
      <c r="L39">
        <v>-0.46</v>
      </c>
      <c r="M39">
        <v>-0.81</v>
      </c>
      <c r="N39">
        <v>-0.35</v>
      </c>
      <c r="O39">
        <v>-0.3</v>
      </c>
      <c r="P39">
        <v>-0.15</v>
      </c>
      <c r="Q39">
        <v>-0.3</v>
      </c>
      <c r="R39">
        <v>-0.37</v>
      </c>
      <c r="S39">
        <v>-0.38</v>
      </c>
    </row>
    <row r="40" spans="1:19" x14ac:dyDescent="0.3">
      <c r="A40">
        <v>1917</v>
      </c>
      <c r="B40">
        <v>-0.56999999999999995</v>
      </c>
      <c r="C40">
        <v>-0.62</v>
      </c>
      <c r="D40">
        <v>-0.63</v>
      </c>
      <c r="E40">
        <v>-0.54</v>
      </c>
      <c r="F40">
        <v>-0.55000000000000004</v>
      </c>
      <c r="G40">
        <v>-0.43</v>
      </c>
      <c r="H40">
        <v>-0.25</v>
      </c>
      <c r="I40">
        <v>-0.22</v>
      </c>
      <c r="J40">
        <v>-0.22</v>
      </c>
      <c r="K40">
        <v>-0.44</v>
      </c>
      <c r="L40">
        <v>-0.33</v>
      </c>
      <c r="M40">
        <v>-0.67</v>
      </c>
      <c r="N40">
        <v>-0.46</v>
      </c>
      <c r="O40">
        <v>-0.47</v>
      </c>
      <c r="P40">
        <v>-0.67</v>
      </c>
      <c r="Q40">
        <v>-0.56999999999999995</v>
      </c>
      <c r="R40">
        <v>-0.3</v>
      </c>
      <c r="S40">
        <v>-0.33</v>
      </c>
    </row>
    <row r="41" spans="1:19" x14ac:dyDescent="0.3">
      <c r="A41">
        <v>1918</v>
      </c>
      <c r="B41">
        <v>-0.47</v>
      </c>
      <c r="C41">
        <v>-0.34</v>
      </c>
      <c r="D41">
        <v>-0.24</v>
      </c>
      <c r="E41">
        <v>-0.44</v>
      </c>
      <c r="F41">
        <v>-0.42</v>
      </c>
      <c r="G41">
        <v>-0.36</v>
      </c>
      <c r="H41">
        <v>-0.31</v>
      </c>
      <c r="I41">
        <v>-0.31</v>
      </c>
      <c r="J41">
        <v>-0.17</v>
      </c>
      <c r="K41">
        <v>-0.06</v>
      </c>
      <c r="L41">
        <v>-0.11</v>
      </c>
      <c r="M41">
        <v>-0.28999999999999998</v>
      </c>
      <c r="N41">
        <v>-0.28999999999999998</v>
      </c>
      <c r="O41">
        <v>-0.32</v>
      </c>
      <c r="P41">
        <v>-0.49</v>
      </c>
      <c r="Q41">
        <v>-0.37</v>
      </c>
      <c r="R41">
        <v>-0.33</v>
      </c>
      <c r="S41">
        <v>-0.11</v>
      </c>
    </row>
    <row r="42" spans="1:19" x14ac:dyDescent="0.3">
      <c r="A42">
        <v>1919</v>
      </c>
      <c r="B42">
        <v>-0.2</v>
      </c>
      <c r="C42">
        <v>-0.23</v>
      </c>
      <c r="D42">
        <v>-0.21</v>
      </c>
      <c r="E42">
        <v>-0.12</v>
      </c>
      <c r="F42">
        <v>-0.27</v>
      </c>
      <c r="G42">
        <v>-0.35</v>
      </c>
      <c r="H42">
        <v>-0.28000000000000003</v>
      </c>
      <c r="I42">
        <v>-0.32</v>
      </c>
      <c r="J42">
        <v>-0.25</v>
      </c>
      <c r="K42">
        <v>-0.2</v>
      </c>
      <c r="L42">
        <v>-0.41</v>
      </c>
      <c r="M42">
        <v>-0.42</v>
      </c>
      <c r="N42">
        <v>-0.27</v>
      </c>
      <c r="O42">
        <v>-0.26</v>
      </c>
      <c r="P42">
        <v>-0.24</v>
      </c>
      <c r="Q42">
        <v>-0.2</v>
      </c>
      <c r="R42">
        <v>-0.32</v>
      </c>
      <c r="S42">
        <v>-0.28000000000000003</v>
      </c>
    </row>
    <row r="43" spans="1:19" x14ac:dyDescent="0.3">
      <c r="A43">
        <v>1920</v>
      </c>
      <c r="B43">
        <v>-0.24</v>
      </c>
      <c r="C43">
        <v>-0.26</v>
      </c>
      <c r="D43">
        <v>-0.12</v>
      </c>
      <c r="E43">
        <v>-0.24</v>
      </c>
      <c r="F43">
        <v>-0.26</v>
      </c>
      <c r="G43">
        <v>-0.35</v>
      </c>
      <c r="H43">
        <v>-0.3</v>
      </c>
      <c r="I43">
        <v>-0.26</v>
      </c>
      <c r="J43">
        <v>-0.22</v>
      </c>
      <c r="K43">
        <v>-0.26</v>
      </c>
      <c r="L43">
        <v>-0.26</v>
      </c>
      <c r="M43">
        <v>-0.46</v>
      </c>
      <c r="N43">
        <v>-0.27</v>
      </c>
      <c r="O43">
        <v>-0.26</v>
      </c>
      <c r="P43">
        <v>-0.3</v>
      </c>
      <c r="Q43">
        <v>-0.2</v>
      </c>
      <c r="R43">
        <v>-0.3</v>
      </c>
      <c r="S43">
        <v>-0.25</v>
      </c>
    </row>
    <row r="44" spans="1:19" x14ac:dyDescent="0.3">
      <c r="A44">
        <v>1921</v>
      </c>
      <c r="B44">
        <v>-0.04</v>
      </c>
      <c r="C44">
        <v>-0.17</v>
      </c>
      <c r="D44">
        <v>-0.22</v>
      </c>
      <c r="E44">
        <v>-0.28999999999999998</v>
      </c>
      <c r="F44">
        <v>-0.28999999999999998</v>
      </c>
      <c r="G44">
        <v>-0.27</v>
      </c>
      <c r="H44">
        <v>-0.14000000000000001</v>
      </c>
      <c r="I44">
        <v>-0.26</v>
      </c>
      <c r="J44">
        <v>-0.19</v>
      </c>
      <c r="K44">
        <v>-0.03</v>
      </c>
      <c r="L44">
        <v>-0.13</v>
      </c>
      <c r="M44">
        <v>-0.17</v>
      </c>
      <c r="N44">
        <v>-0.18</v>
      </c>
      <c r="O44">
        <v>-0.21</v>
      </c>
      <c r="P44">
        <v>-0.22</v>
      </c>
      <c r="Q44">
        <v>-0.27</v>
      </c>
      <c r="R44">
        <v>-0.22</v>
      </c>
      <c r="S44">
        <v>-0.11</v>
      </c>
    </row>
    <row r="45" spans="1:19" x14ac:dyDescent="0.3">
      <c r="A45">
        <v>1922</v>
      </c>
      <c r="B45">
        <v>-0.32</v>
      </c>
      <c r="C45">
        <v>-0.43</v>
      </c>
      <c r="D45">
        <v>-0.14000000000000001</v>
      </c>
      <c r="E45">
        <v>-0.22</v>
      </c>
      <c r="F45">
        <v>-0.33</v>
      </c>
      <c r="G45">
        <v>-0.3</v>
      </c>
      <c r="H45">
        <v>-0.27</v>
      </c>
      <c r="I45">
        <v>-0.32</v>
      </c>
      <c r="J45">
        <v>-0.35</v>
      </c>
      <c r="K45">
        <v>-0.32</v>
      </c>
      <c r="L45">
        <v>-0.14000000000000001</v>
      </c>
      <c r="M45">
        <v>-0.18</v>
      </c>
      <c r="N45">
        <v>-0.28000000000000003</v>
      </c>
      <c r="O45">
        <v>-0.28000000000000003</v>
      </c>
      <c r="P45">
        <v>-0.31</v>
      </c>
      <c r="Q45">
        <v>-0.23</v>
      </c>
      <c r="R45">
        <v>-0.3</v>
      </c>
      <c r="S45">
        <v>-0.27</v>
      </c>
    </row>
    <row r="46" spans="1:19" x14ac:dyDescent="0.3">
      <c r="A46">
        <v>1923</v>
      </c>
      <c r="B46">
        <v>-0.27</v>
      </c>
      <c r="C46">
        <v>-0.38</v>
      </c>
      <c r="D46">
        <v>-0.33</v>
      </c>
      <c r="E46">
        <v>-0.4</v>
      </c>
      <c r="F46">
        <v>-0.33</v>
      </c>
      <c r="G46">
        <v>-0.28000000000000003</v>
      </c>
      <c r="H46">
        <v>-0.3</v>
      </c>
      <c r="I46">
        <v>-0.32</v>
      </c>
      <c r="J46">
        <v>-0.31</v>
      </c>
      <c r="K46">
        <v>-0.13</v>
      </c>
      <c r="L46">
        <v>-0.02</v>
      </c>
      <c r="M46">
        <v>-0.04</v>
      </c>
      <c r="N46">
        <v>-0.26</v>
      </c>
      <c r="O46">
        <v>-0.27</v>
      </c>
      <c r="P46">
        <v>-0.28000000000000003</v>
      </c>
      <c r="Q46">
        <v>-0.35</v>
      </c>
      <c r="R46">
        <v>-0.3</v>
      </c>
      <c r="S46">
        <v>-0.15</v>
      </c>
    </row>
    <row r="47" spans="1:19" x14ac:dyDescent="0.3">
      <c r="A47">
        <v>1924</v>
      </c>
      <c r="B47">
        <v>-0.23</v>
      </c>
      <c r="C47">
        <v>-0.23</v>
      </c>
      <c r="D47">
        <v>-0.08</v>
      </c>
      <c r="E47">
        <v>-0.31</v>
      </c>
      <c r="F47">
        <v>-0.18</v>
      </c>
      <c r="G47">
        <v>-0.25</v>
      </c>
      <c r="H47">
        <v>-0.28000000000000003</v>
      </c>
      <c r="I47">
        <v>-0.35</v>
      </c>
      <c r="J47">
        <v>-0.32</v>
      </c>
      <c r="K47">
        <v>-0.35</v>
      </c>
      <c r="L47">
        <v>-0.21</v>
      </c>
      <c r="M47">
        <v>-0.42</v>
      </c>
      <c r="N47">
        <v>-0.27</v>
      </c>
      <c r="O47">
        <v>-0.23</v>
      </c>
      <c r="P47">
        <v>-0.17</v>
      </c>
      <c r="Q47">
        <v>-0.19</v>
      </c>
      <c r="R47">
        <v>-0.3</v>
      </c>
      <c r="S47">
        <v>-0.28999999999999998</v>
      </c>
    </row>
    <row r="48" spans="1:19" x14ac:dyDescent="0.3">
      <c r="A48">
        <v>1925</v>
      </c>
      <c r="B48">
        <v>-0.38</v>
      </c>
      <c r="C48">
        <v>-0.39</v>
      </c>
      <c r="D48">
        <v>-0.27</v>
      </c>
      <c r="E48">
        <v>-0.25</v>
      </c>
      <c r="F48">
        <v>-0.28000000000000003</v>
      </c>
      <c r="G48">
        <v>-0.32</v>
      </c>
      <c r="H48">
        <v>-0.26</v>
      </c>
      <c r="I48">
        <v>-0.19</v>
      </c>
      <c r="J48">
        <v>-0.19</v>
      </c>
      <c r="K48">
        <v>-0.16</v>
      </c>
      <c r="L48">
        <v>0.05</v>
      </c>
      <c r="M48">
        <v>0.06</v>
      </c>
      <c r="N48">
        <v>-0.22</v>
      </c>
      <c r="O48">
        <v>-0.26</v>
      </c>
      <c r="P48">
        <v>-0.4</v>
      </c>
      <c r="Q48">
        <v>-0.27</v>
      </c>
      <c r="R48">
        <v>-0.26</v>
      </c>
      <c r="S48">
        <v>-0.1</v>
      </c>
    </row>
    <row r="49" spans="1:19" x14ac:dyDescent="0.3">
      <c r="A49">
        <v>1926</v>
      </c>
      <c r="B49">
        <v>0.2</v>
      </c>
      <c r="C49">
        <v>0.03</v>
      </c>
      <c r="D49">
        <v>0.12</v>
      </c>
      <c r="E49">
        <v>-0.12</v>
      </c>
      <c r="F49">
        <v>-0.23</v>
      </c>
      <c r="G49">
        <v>-0.26</v>
      </c>
      <c r="H49">
        <v>-0.27</v>
      </c>
      <c r="I49">
        <v>-0.13</v>
      </c>
      <c r="J49">
        <v>-0.15</v>
      </c>
      <c r="K49">
        <v>-0.11</v>
      </c>
      <c r="L49">
        <v>-0.06</v>
      </c>
      <c r="M49">
        <v>-0.28999999999999998</v>
      </c>
      <c r="N49">
        <v>-0.1</v>
      </c>
      <c r="O49">
        <v>-0.08</v>
      </c>
      <c r="P49">
        <v>0.1</v>
      </c>
      <c r="Q49">
        <v>-0.08</v>
      </c>
      <c r="R49">
        <v>-0.22</v>
      </c>
      <c r="S49">
        <v>-0.11</v>
      </c>
    </row>
    <row r="50" spans="1:19" x14ac:dyDescent="0.3">
      <c r="A50">
        <v>1927</v>
      </c>
      <c r="B50">
        <v>-0.27</v>
      </c>
      <c r="C50">
        <v>-0.17</v>
      </c>
      <c r="D50">
        <v>-0.38</v>
      </c>
      <c r="E50">
        <v>-0.3</v>
      </c>
      <c r="F50">
        <v>-0.25</v>
      </c>
      <c r="G50">
        <v>-0.27</v>
      </c>
      <c r="H50">
        <v>-0.18</v>
      </c>
      <c r="I50">
        <v>-0.24</v>
      </c>
      <c r="J50">
        <v>-0.12</v>
      </c>
      <c r="K50">
        <v>-0.01</v>
      </c>
      <c r="L50">
        <v>-0.05</v>
      </c>
      <c r="M50">
        <v>-0.33</v>
      </c>
      <c r="N50">
        <v>-0.21</v>
      </c>
      <c r="O50">
        <v>-0.21</v>
      </c>
      <c r="P50">
        <v>-0.24</v>
      </c>
      <c r="Q50">
        <v>-0.31</v>
      </c>
      <c r="R50">
        <v>-0.23</v>
      </c>
      <c r="S50">
        <v>-0.06</v>
      </c>
    </row>
    <row r="51" spans="1:19" x14ac:dyDescent="0.3">
      <c r="A51">
        <v>1928</v>
      </c>
      <c r="B51">
        <v>-0.01</v>
      </c>
      <c r="C51">
        <v>-0.08</v>
      </c>
      <c r="D51">
        <v>-0.25</v>
      </c>
      <c r="E51">
        <v>-0.27</v>
      </c>
      <c r="F51">
        <v>-0.28999999999999998</v>
      </c>
      <c r="G51">
        <v>-0.38</v>
      </c>
      <c r="H51">
        <v>-0.19</v>
      </c>
      <c r="I51">
        <v>-0.22</v>
      </c>
      <c r="J51">
        <v>-0.21</v>
      </c>
      <c r="K51">
        <v>-0.18</v>
      </c>
      <c r="L51">
        <v>-0.08</v>
      </c>
      <c r="M51">
        <v>-0.16</v>
      </c>
      <c r="N51">
        <v>-0.19</v>
      </c>
      <c r="O51">
        <v>-0.21</v>
      </c>
      <c r="P51">
        <v>-0.14000000000000001</v>
      </c>
      <c r="Q51">
        <v>-0.27</v>
      </c>
      <c r="R51">
        <v>-0.26</v>
      </c>
      <c r="S51">
        <v>-0.16</v>
      </c>
    </row>
    <row r="52" spans="1:19" x14ac:dyDescent="0.3">
      <c r="A52">
        <v>1929</v>
      </c>
      <c r="B52">
        <v>-0.45</v>
      </c>
      <c r="C52">
        <v>-0.57999999999999996</v>
      </c>
      <c r="D52">
        <v>-0.32</v>
      </c>
      <c r="E52">
        <v>-0.41</v>
      </c>
      <c r="F52">
        <v>-0.38</v>
      </c>
      <c r="G52">
        <v>-0.43</v>
      </c>
      <c r="H52">
        <v>-0.36</v>
      </c>
      <c r="I52">
        <v>-0.32</v>
      </c>
      <c r="J52">
        <v>-0.25</v>
      </c>
      <c r="K52">
        <v>-0.14000000000000001</v>
      </c>
      <c r="L52">
        <v>-0.11</v>
      </c>
      <c r="M52">
        <v>-0.54</v>
      </c>
      <c r="N52">
        <v>-0.36</v>
      </c>
      <c r="O52">
        <v>-0.33</v>
      </c>
      <c r="P52">
        <v>-0.4</v>
      </c>
      <c r="Q52">
        <v>-0.37</v>
      </c>
      <c r="R52">
        <v>-0.37</v>
      </c>
      <c r="S52">
        <v>-0.16</v>
      </c>
    </row>
    <row r="53" spans="1:19" x14ac:dyDescent="0.3">
      <c r="A53">
        <v>1930</v>
      </c>
      <c r="B53">
        <v>-0.28999999999999998</v>
      </c>
      <c r="C53">
        <v>-0.26</v>
      </c>
      <c r="D53">
        <v>-0.1</v>
      </c>
      <c r="E53">
        <v>-0.24</v>
      </c>
      <c r="F53">
        <v>-0.24</v>
      </c>
      <c r="G53">
        <v>-0.21</v>
      </c>
      <c r="H53">
        <v>-0.21</v>
      </c>
      <c r="I53">
        <v>-0.15</v>
      </c>
      <c r="J53">
        <v>-0.15</v>
      </c>
      <c r="K53">
        <v>-0.12</v>
      </c>
      <c r="L53">
        <v>0.17</v>
      </c>
      <c r="M53">
        <v>-0.05</v>
      </c>
      <c r="N53">
        <v>-0.15</v>
      </c>
      <c r="O53">
        <v>-0.19</v>
      </c>
      <c r="P53">
        <v>-0.36</v>
      </c>
      <c r="Q53">
        <v>-0.19</v>
      </c>
      <c r="R53">
        <v>-0.19</v>
      </c>
      <c r="S53">
        <v>-0.03</v>
      </c>
    </row>
    <row r="54" spans="1:19" x14ac:dyDescent="0.3">
      <c r="A54">
        <v>1931</v>
      </c>
      <c r="B54">
        <v>-0.1</v>
      </c>
      <c r="C54">
        <v>-0.21</v>
      </c>
      <c r="D54">
        <v>-0.1</v>
      </c>
      <c r="E54">
        <v>-0.22</v>
      </c>
      <c r="F54">
        <v>-0.19</v>
      </c>
      <c r="G54">
        <v>-0.08</v>
      </c>
      <c r="H54">
        <v>-0.03</v>
      </c>
      <c r="I54">
        <v>-0.04</v>
      </c>
      <c r="J54">
        <v>-7.0000000000000007E-2</v>
      </c>
      <c r="K54">
        <v>0.05</v>
      </c>
      <c r="L54">
        <v>-0.06</v>
      </c>
      <c r="M54">
        <v>-0.05</v>
      </c>
      <c r="N54">
        <v>-0.09</v>
      </c>
      <c r="O54">
        <v>-0.09</v>
      </c>
      <c r="P54">
        <v>-0.12</v>
      </c>
      <c r="Q54">
        <v>-0.17</v>
      </c>
      <c r="R54">
        <v>-0.05</v>
      </c>
      <c r="S54">
        <v>-0.02</v>
      </c>
    </row>
    <row r="55" spans="1:19" x14ac:dyDescent="0.3">
      <c r="A55">
        <v>1932</v>
      </c>
      <c r="B55">
        <v>0.15</v>
      </c>
      <c r="C55">
        <v>-0.17</v>
      </c>
      <c r="D55">
        <v>-0.17</v>
      </c>
      <c r="E55">
        <v>-0.05</v>
      </c>
      <c r="F55">
        <v>-0.17</v>
      </c>
      <c r="G55">
        <v>-0.28000000000000003</v>
      </c>
      <c r="H55">
        <v>-0.24</v>
      </c>
      <c r="I55">
        <v>-0.22</v>
      </c>
      <c r="J55">
        <v>-0.11</v>
      </c>
      <c r="K55">
        <v>-0.09</v>
      </c>
      <c r="L55">
        <v>-0.27</v>
      </c>
      <c r="M55">
        <v>-0.25</v>
      </c>
      <c r="N55">
        <v>-0.16</v>
      </c>
      <c r="O55">
        <v>-0.14000000000000001</v>
      </c>
      <c r="P55">
        <v>-0.02</v>
      </c>
      <c r="Q55">
        <v>-0.13</v>
      </c>
      <c r="R55">
        <v>-0.25</v>
      </c>
      <c r="S55">
        <v>-0.15</v>
      </c>
    </row>
    <row r="56" spans="1:19" x14ac:dyDescent="0.3">
      <c r="A56">
        <v>1933</v>
      </c>
      <c r="B56">
        <v>-0.23</v>
      </c>
      <c r="C56">
        <v>-0.28999999999999998</v>
      </c>
      <c r="D56">
        <v>-0.28999999999999998</v>
      </c>
      <c r="E56">
        <v>-0.23</v>
      </c>
      <c r="F56">
        <v>-0.28000000000000003</v>
      </c>
      <c r="G56">
        <v>-0.34</v>
      </c>
      <c r="H56">
        <v>-0.21</v>
      </c>
      <c r="I56">
        <v>-0.23</v>
      </c>
      <c r="J56">
        <v>-0.28999999999999998</v>
      </c>
      <c r="K56">
        <v>-0.25</v>
      </c>
      <c r="L56">
        <v>-0.3</v>
      </c>
      <c r="M56">
        <v>-0.44</v>
      </c>
      <c r="N56">
        <v>-0.28000000000000003</v>
      </c>
      <c r="O56">
        <v>-0.27</v>
      </c>
      <c r="P56">
        <v>-0.26</v>
      </c>
      <c r="Q56">
        <v>-0.27</v>
      </c>
      <c r="R56">
        <v>-0.26</v>
      </c>
      <c r="S56">
        <v>-0.28000000000000003</v>
      </c>
    </row>
    <row r="57" spans="1:19" x14ac:dyDescent="0.3">
      <c r="A57">
        <v>1934</v>
      </c>
      <c r="B57">
        <v>-0.21</v>
      </c>
      <c r="C57">
        <v>-0.02</v>
      </c>
      <c r="D57">
        <v>-0.28999999999999998</v>
      </c>
      <c r="E57">
        <v>-0.3</v>
      </c>
      <c r="F57">
        <v>-0.09</v>
      </c>
      <c r="G57">
        <v>-0.15</v>
      </c>
      <c r="H57">
        <v>-0.1</v>
      </c>
      <c r="I57">
        <v>-0.12</v>
      </c>
      <c r="J57">
        <v>-0.15</v>
      </c>
      <c r="K57">
        <v>-0.06</v>
      </c>
      <c r="L57">
        <v>0.04</v>
      </c>
      <c r="M57">
        <v>-0.02</v>
      </c>
      <c r="N57">
        <v>-0.12</v>
      </c>
      <c r="O57">
        <v>-0.16</v>
      </c>
      <c r="P57">
        <v>-0.22</v>
      </c>
      <c r="Q57">
        <v>-0.23</v>
      </c>
      <c r="R57">
        <v>-0.12</v>
      </c>
      <c r="S57">
        <v>-0.06</v>
      </c>
    </row>
    <row r="58" spans="1:19" x14ac:dyDescent="0.3">
      <c r="A58">
        <v>1935</v>
      </c>
      <c r="B58">
        <v>-0.33</v>
      </c>
      <c r="C58">
        <v>0.15</v>
      </c>
      <c r="D58">
        <v>-0.14000000000000001</v>
      </c>
      <c r="E58">
        <v>-0.36</v>
      </c>
      <c r="F58">
        <v>-0.28000000000000003</v>
      </c>
      <c r="G58">
        <v>-0.26</v>
      </c>
      <c r="H58">
        <v>-0.21</v>
      </c>
      <c r="I58">
        <v>-0.21</v>
      </c>
      <c r="J58">
        <v>-0.21</v>
      </c>
      <c r="K58">
        <v>-0.05</v>
      </c>
      <c r="L58">
        <v>-0.25</v>
      </c>
      <c r="M58">
        <v>-0.16</v>
      </c>
      <c r="N58">
        <v>-0.19</v>
      </c>
      <c r="O58">
        <v>-0.18</v>
      </c>
      <c r="P58">
        <v>-7.0000000000000007E-2</v>
      </c>
      <c r="Q58">
        <v>-0.26</v>
      </c>
      <c r="R58">
        <v>-0.23</v>
      </c>
      <c r="S58">
        <v>-0.17</v>
      </c>
    </row>
    <row r="59" spans="1:19" x14ac:dyDescent="0.3">
      <c r="A59">
        <v>1936</v>
      </c>
      <c r="B59">
        <v>-0.27</v>
      </c>
      <c r="C59">
        <v>-0.37</v>
      </c>
      <c r="D59">
        <v>-0.2</v>
      </c>
      <c r="E59">
        <v>-0.19</v>
      </c>
      <c r="F59">
        <v>-0.16</v>
      </c>
      <c r="G59">
        <v>-0.21</v>
      </c>
      <c r="H59">
        <v>-0.09</v>
      </c>
      <c r="I59">
        <v>-0.13</v>
      </c>
      <c r="J59">
        <v>-0.09</v>
      </c>
      <c r="K59">
        <v>-0.02</v>
      </c>
      <c r="L59">
        <v>0.02</v>
      </c>
      <c r="M59">
        <v>0</v>
      </c>
      <c r="N59">
        <v>-0.14000000000000001</v>
      </c>
      <c r="O59">
        <v>-0.16</v>
      </c>
      <c r="P59">
        <v>-0.27</v>
      </c>
      <c r="Q59">
        <v>-0.18</v>
      </c>
      <c r="R59">
        <v>-0.14000000000000001</v>
      </c>
      <c r="S59">
        <v>-0.03</v>
      </c>
    </row>
    <row r="60" spans="1:19" x14ac:dyDescent="0.3">
      <c r="A60">
        <v>1937</v>
      </c>
      <c r="B60">
        <v>-7.0000000000000007E-2</v>
      </c>
      <c r="C60">
        <v>0.03</v>
      </c>
      <c r="D60">
        <v>-0.2</v>
      </c>
      <c r="E60">
        <v>-0.15</v>
      </c>
      <c r="F60">
        <v>-0.05</v>
      </c>
      <c r="G60">
        <v>-0.05</v>
      </c>
      <c r="H60">
        <v>-0.03</v>
      </c>
      <c r="I60">
        <v>0.02</v>
      </c>
      <c r="J60">
        <v>0.09</v>
      </c>
      <c r="K60">
        <v>0.09</v>
      </c>
      <c r="L60">
        <v>0.09</v>
      </c>
      <c r="M60">
        <v>-7.0000000000000007E-2</v>
      </c>
      <c r="N60">
        <v>-0.02</v>
      </c>
      <c r="O60">
        <v>-0.02</v>
      </c>
      <c r="P60">
        <v>-0.01</v>
      </c>
      <c r="Q60">
        <v>-0.13</v>
      </c>
      <c r="R60">
        <v>-0.02</v>
      </c>
      <c r="S60">
        <v>0.09</v>
      </c>
    </row>
    <row r="61" spans="1:19" x14ac:dyDescent="0.3">
      <c r="A61">
        <v>1938</v>
      </c>
      <c r="B61">
        <v>0.09</v>
      </c>
      <c r="C61">
        <v>0.04</v>
      </c>
      <c r="D61">
        <v>0.1</v>
      </c>
      <c r="E61">
        <v>0.06</v>
      </c>
      <c r="F61">
        <v>-0.09</v>
      </c>
      <c r="G61">
        <v>-0.16</v>
      </c>
      <c r="H61">
        <v>-0.09</v>
      </c>
      <c r="I61">
        <v>-0.05</v>
      </c>
      <c r="J61">
        <v>0.01</v>
      </c>
      <c r="K61">
        <v>0.15</v>
      </c>
      <c r="L61">
        <v>0.09</v>
      </c>
      <c r="M61">
        <v>-0.12</v>
      </c>
      <c r="N61">
        <v>0</v>
      </c>
      <c r="O61">
        <v>0.01</v>
      </c>
      <c r="P61">
        <v>0.02</v>
      </c>
      <c r="Q61">
        <v>0.03</v>
      </c>
      <c r="R61">
        <v>-0.1</v>
      </c>
      <c r="S61">
        <v>0.08</v>
      </c>
    </row>
    <row r="62" spans="1:19" x14ac:dyDescent="0.3">
      <c r="A62">
        <v>1939</v>
      </c>
      <c r="B62">
        <v>-0.04</v>
      </c>
      <c r="C62">
        <v>-0.06</v>
      </c>
      <c r="D62">
        <v>-0.17</v>
      </c>
      <c r="E62">
        <v>-0.09</v>
      </c>
      <c r="F62">
        <v>-0.04</v>
      </c>
      <c r="G62">
        <v>-7.0000000000000007E-2</v>
      </c>
      <c r="H62">
        <v>-0.05</v>
      </c>
      <c r="I62">
        <v>-0.06</v>
      </c>
      <c r="J62">
        <v>-7.0000000000000007E-2</v>
      </c>
      <c r="K62">
        <v>-0.03</v>
      </c>
      <c r="L62">
        <v>7.0000000000000007E-2</v>
      </c>
      <c r="M62">
        <v>0.44</v>
      </c>
      <c r="N62">
        <v>-0.01</v>
      </c>
      <c r="O62">
        <v>-0.06</v>
      </c>
      <c r="P62">
        <v>-7.0000000000000007E-2</v>
      </c>
      <c r="Q62">
        <v>-0.1</v>
      </c>
      <c r="R62">
        <v>-0.06</v>
      </c>
      <c r="S62">
        <v>-0.01</v>
      </c>
    </row>
    <row r="63" spans="1:19" x14ac:dyDescent="0.3">
      <c r="A63">
        <v>1940</v>
      </c>
      <c r="B63">
        <v>0</v>
      </c>
      <c r="C63">
        <v>0.08</v>
      </c>
      <c r="D63">
        <v>0.09</v>
      </c>
      <c r="E63">
        <v>0.18</v>
      </c>
      <c r="F63">
        <v>0.11</v>
      </c>
      <c r="G63">
        <v>0.12</v>
      </c>
      <c r="H63">
        <v>0.13</v>
      </c>
      <c r="I63">
        <v>7.0000000000000007E-2</v>
      </c>
      <c r="J63">
        <v>0.15</v>
      </c>
      <c r="K63">
        <v>0.12</v>
      </c>
      <c r="L63">
        <v>0.17</v>
      </c>
      <c r="M63">
        <v>0.32</v>
      </c>
      <c r="N63">
        <v>0.13</v>
      </c>
      <c r="O63">
        <v>0.14000000000000001</v>
      </c>
      <c r="P63">
        <v>0.17</v>
      </c>
      <c r="Q63">
        <v>0.13</v>
      </c>
      <c r="R63">
        <v>0.11</v>
      </c>
      <c r="S63">
        <v>0.15</v>
      </c>
    </row>
    <row r="64" spans="1:19" x14ac:dyDescent="0.3">
      <c r="A64">
        <v>1941</v>
      </c>
      <c r="B64">
        <v>0.18</v>
      </c>
      <c r="C64">
        <v>0.31</v>
      </c>
      <c r="D64">
        <v>0.1</v>
      </c>
      <c r="E64">
        <v>0.17</v>
      </c>
      <c r="F64">
        <v>0.17</v>
      </c>
      <c r="G64">
        <v>0.13</v>
      </c>
      <c r="H64">
        <v>0.22</v>
      </c>
      <c r="I64">
        <v>0.15</v>
      </c>
      <c r="J64">
        <v>0.02</v>
      </c>
      <c r="K64">
        <v>0.35</v>
      </c>
      <c r="L64">
        <v>0.23</v>
      </c>
      <c r="M64">
        <v>0.22</v>
      </c>
      <c r="N64">
        <v>0.19</v>
      </c>
      <c r="O64">
        <v>0.2</v>
      </c>
      <c r="P64">
        <v>0.27</v>
      </c>
      <c r="Q64">
        <v>0.15</v>
      </c>
      <c r="R64">
        <v>0.17</v>
      </c>
      <c r="S64">
        <v>0.2</v>
      </c>
    </row>
    <row r="65" spans="1:19" x14ac:dyDescent="0.3">
      <c r="A65">
        <v>1942</v>
      </c>
      <c r="B65">
        <v>0.3</v>
      </c>
      <c r="C65">
        <v>0.03</v>
      </c>
      <c r="D65">
        <v>0.05</v>
      </c>
      <c r="E65">
        <v>0.1</v>
      </c>
      <c r="F65">
        <v>0.11</v>
      </c>
      <c r="G65">
        <v>0.05</v>
      </c>
      <c r="H65">
        <v>0.01</v>
      </c>
      <c r="I65">
        <v>-0.03</v>
      </c>
      <c r="J65">
        <v>-0.03</v>
      </c>
      <c r="K65">
        <v>0.02</v>
      </c>
      <c r="L65">
        <v>0.1</v>
      </c>
      <c r="M65">
        <v>0.13</v>
      </c>
      <c r="N65">
        <v>7.0000000000000007E-2</v>
      </c>
      <c r="O65">
        <v>0.08</v>
      </c>
      <c r="P65">
        <v>0.18</v>
      </c>
      <c r="Q65">
        <v>0.09</v>
      </c>
      <c r="R65">
        <v>0.01</v>
      </c>
      <c r="S65">
        <v>0.03</v>
      </c>
    </row>
    <row r="66" spans="1:19" x14ac:dyDescent="0.3">
      <c r="A66">
        <v>1943</v>
      </c>
      <c r="B66">
        <v>-0.01</v>
      </c>
      <c r="C66">
        <v>0.18</v>
      </c>
      <c r="D66">
        <v>-0.03</v>
      </c>
      <c r="E66">
        <v>0.11</v>
      </c>
      <c r="F66">
        <v>7.0000000000000007E-2</v>
      </c>
      <c r="G66">
        <v>-0.05</v>
      </c>
      <c r="H66">
        <v>0.09</v>
      </c>
      <c r="I66">
        <v>0.01</v>
      </c>
      <c r="J66">
        <v>0.05</v>
      </c>
      <c r="K66">
        <v>0.23</v>
      </c>
      <c r="L66">
        <v>0.2</v>
      </c>
      <c r="M66">
        <v>0.24</v>
      </c>
      <c r="N66">
        <v>0.09</v>
      </c>
      <c r="O66">
        <v>0.08</v>
      </c>
      <c r="P66">
        <v>0.1</v>
      </c>
      <c r="Q66">
        <v>0.05</v>
      </c>
      <c r="R66">
        <v>0.02</v>
      </c>
      <c r="S66">
        <v>0.16</v>
      </c>
    </row>
    <row r="67" spans="1:19" x14ac:dyDescent="0.3">
      <c r="A67">
        <v>1944</v>
      </c>
      <c r="B67">
        <v>0.36</v>
      </c>
      <c r="C67">
        <v>0.25</v>
      </c>
      <c r="D67">
        <v>0.26</v>
      </c>
      <c r="E67">
        <v>0.2</v>
      </c>
      <c r="F67">
        <v>0.2</v>
      </c>
      <c r="G67">
        <v>0.16</v>
      </c>
      <c r="H67">
        <v>0.18</v>
      </c>
      <c r="I67">
        <v>0.18</v>
      </c>
      <c r="J67">
        <v>0.28000000000000003</v>
      </c>
      <c r="K67">
        <v>0.27</v>
      </c>
      <c r="L67">
        <v>0.11</v>
      </c>
      <c r="M67">
        <v>0.04</v>
      </c>
      <c r="N67">
        <v>0.21</v>
      </c>
      <c r="O67">
        <v>0.22</v>
      </c>
      <c r="P67">
        <v>0.28000000000000003</v>
      </c>
      <c r="Q67">
        <v>0.22</v>
      </c>
      <c r="R67">
        <v>0.17</v>
      </c>
      <c r="S67">
        <v>0.22</v>
      </c>
    </row>
    <row r="68" spans="1:19" x14ac:dyDescent="0.3">
      <c r="A68">
        <v>1945</v>
      </c>
      <c r="B68">
        <v>0.1</v>
      </c>
      <c r="C68">
        <v>0.01</v>
      </c>
      <c r="D68">
        <v>0.06</v>
      </c>
      <c r="E68">
        <v>0.2</v>
      </c>
      <c r="F68">
        <v>0.06</v>
      </c>
      <c r="G68">
        <v>0.01</v>
      </c>
      <c r="H68">
        <v>0.04</v>
      </c>
      <c r="I68">
        <v>0.26</v>
      </c>
      <c r="J68">
        <v>0.2</v>
      </c>
      <c r="K68">
        <v>0.19</v>
      </c>
      <c r="L68">
        <v>7.0000000000000007E-2</v>
      </c>
      <c r="M68">
        <v>-7.0000000000000007E-2</v>
      </c>
      <c r="N68">
        <v>0.09</v>
      </c>
      <c r="O68">
        <v>0.1</v>
      </c>
      <c r="P68">
        <v>0.05</v>
      </c>
      <c r="Q68">
        <v>0.11</v>
      </c>
      <c r="R68">
        <v>0.1</v>
      </c>
      <c r="S68">
        <v>0.15</v>
      </c>
    </row>
    <row r="69" spans="1:19" x14ac:dyDescent="0.3">
      <c r="A69">
        <v>1946</v>
      </c>
      <c r="B69">
        <v>0.15</v>
      </c>
      <c r="C69">
        <v>0.03</v>
      </c>
      <c r="D69">
        <v>0.02</v>
      </c>
      <c r="E69">
        <v>0.06</v>
      </c>
      <c r="F69">
        <v>-7.0000000000000007E-2</v>
      </c>
      <c r="G69">
        <v>-0.21</v>
      </c>
      <c r="H69">
        <v>-0.12</v>
      </c>
      <c r="I69">
        <v>-0.2</v>
      </c>
      <c r="J69">
        <v>-7.0000000000000007E-2</v>
      </c>
      <c r="K69">
        <v>-7.0000000000000007E-2</v>
      </c>
      <c r="L69">
        <v>-0.05</v>
      </c>
      <c r="M69">
        <v>-0.3</v>
      </c>
      <c r="N69">
        <v>-7.0000000000000007E-2</v>
      </c>
      <c r="O69">
        <v>-0.05</v>
      </c>
      <c r="P69">
        <v>0.04</v>
      </c>
      <c r="Q69">
        <v>0</v>
      </c>
      <c r="R69">
        <v>-0.18</v>
      </c>
      <c r="S69">
        <v>-7.0000000000000007E-2</v>
      </c>
    </row>
    <row r="70" spans="1:19" x14ac:dyDescent="0.3">
      <c r="A70">
        <v>1947</v>
      </c>
      <c r="B70">
        <v>-0.06</v>
      </c>
      <c r="C70">
        <v>-7.0000000000000007E-2</v>
      </c>
      <c r="D70">
        <v>7.0000000000000007E-2</v>
      </c>
      <c r="E70">
        <v>0.06</v>
      </c>
      <c r="F70">
        <v>-0.01</v>
      </c>
      <c r="G70">
        <v>-0.01</v>
      </c>
      <c r="H70">
        <v>-0.04</v>
      </c>
      <c r="I70">
        <v>-7.0000000000000007E-2</v>
      </c>
      <c r="J70">
        <v>-0.12</v>
      </c>
      <c r="K70">
        <v>0.08</v>
      </c>
      <c r="L70">
        <v>0.03</v>
      </c>
      <c r="M70">
        <v>-0.13</v>
      </c>
      <c r="N70">
        <v>-0.02</v>
      </c>
      <c r="O70">
        <v>-0.04</v>
      </c>
      <c r="P70">
        <v>-0.15</v>
      </c>
      <c r="Q70">
        <v>0.04</v>
      </c>
      <c r="R70">
        <v>-0.04</v>
      </c>
      <c r="S70">
        <v>-0.01</v>
      </c>
    </row>
    <row r="71" spans="1:19" x14ac:dyDescent="0.3">
      <c r="A71">
        <v>1948</v>
      </c>
      <c r="B71">
        <v>7.0000000000000007E-2</v>
      </c>
      <c r="C71">
        <v>-0.14000000000000001</v>
      </c>
      <c r="D71">
        <v>-0.24</v>
      </c>
      <c r="E71">
        <v>-0.12</v>
      </c>
      <c r="F71">
        <v>-0.01</v>
      </c>
      <c r="G71">
        <v>-0.05</v>
      </c>
      <c r="H71">
        <v>-0.11</v>
      </c>
      <c r="I71">
        <v>-0.11</v>
      </c>
      <c r="J71">
        <v>-0.14000000000000001</v>
      </c>
      <c r="K71">
        <v>-0.05</v>
      </c>
      <c r="L71">
        <v>-0.12</v>
      </c>
      <c r="M71">
        <v>-0.23</v>
      </c>
      <c r="N71">
        <v>-0.1</v>
      </c>
      <c r="O71">
        <v>-0.1</v>
      </c>
      <c r="P71">
        <v>-7.0000000000000007E-2</v>
      </c>
      <c r="Q71">
        <v>-0.12</v>
      </c>
      <c r="R71">
        <v>-0.09</v>
      </c>
      <c r="S71">
        <v>-0.1</v>
      </c>
    </row>
    <row r="72" spans="1:19" x14ac:dyDescent="0.3">
      <c r="A72">
        <v>1949</v>
      </c>
      <c r="B72">
        <v>7.0000000000000007E-2</v>
      </c>
      <c r="C72">
        <v>-0.14000000000000001</v>
      </c>
      <c r="D72">
        <v>-0.02</v>
      </c>
      <c r="E72">
        <v>-0.11</v>
      </c>
      <c r="F72">
        <v>-0.1</v>
      </c>
      <c r="G72">
        <v>-0.27</v>
      </c>
      <c r="H72">
        <v>-0.13</v>
      </c>
      <c r="I72">
        <v>-0.13</v>
      </c>
      <c r="J72">
        <v>-0.14000000000000001</v>
      </c>
      <c r="K72">
        <v>-0.06</v>
      </c>
      <c r="L72">
        <v>-0.1</v>
      </c>
      <c r="M72">
        <v>-0.18</v>
      </c>
      <c r="N72">
        <v>-0.11</v>
      </c>
      <c r="O72">
        <v>-0.11</v>
      </c>
      <c r="P72">
        <v>-0.1</v>
      </c>
      <c r="Q72">
        <v>-7.0000000000000007E-2</v>
      </c>
      <c r="R72">
        <v>-0.18</v>
      </c>
      <c r="S72">
        <v>-0.1</v>
      </c>
    </row>
    <row r="73" spans="1:19" x14ac:dyDescent="0.3">
      <c r="A73">
        <v>1950</v>
      </c>
      <c r="B73">
        <v>-0.26</v>
      </c>
      <c r="C73">
        <v>-0.27</v>
      </c>
      <c r="D73">
        <v>-7.0000000000000007E-2</v>
      </c>
      <c r="E73">
        <v>-0.21</v>
      </c>
      <c r="F73">
        <v>-0.11</v>
      </c>
      <c r="G73">
        <v>-0.05</v>
      </c>
      <c r="H73">
        <v>-0.08</v>
      </c>
      <c r="I73">
        <v>-0.16</v>
      </c>
      <c r="J73">
        <v>-0.11</v>
      </c>
      <c r="K73">
        <v>-0.2</v>
      </c>
      <c r="L73">
        <v>-0.34</v>
      </c>
      <c r="M73">
        <v>-0.21</v>
      </c>
      <c r="N73">
        <v>-0.17</v>
      </c>
      <c r="O73">
        <v>-0.17</v>
      </c>
      <c r="P73">
        <v>-0.24</v>
      </c>
      <c r="Q73">
        <v>-0.13</v>
      </c>
      <c r="R73">
        <v>-0.1</v>
      </c>
      <c r="S73">
        <v>-0.22</v>
      </c>
    </row>
    <row r="74" spans="1:19" x14ac:dyDescent="0.3">
      <c r="A74">
        <v>1951</v>
      </c>
      <c r="B74">
        <v>-0.34</v>
      </c>
      <c r="C74">
        <v>-0.41</v>
      </c>
      <c r="D74">
        <v>-0.2</v>
      </c>
      <c r="E74">
        <v>-0.14000000000000001</v>
      </c>
      <c r="F74">
        <v>0</v>
      </c>
      <c r="G74">
        <v>-0.06</v>
      </c>
      <c r="H74">
        <v>-0.01</v>
      </c>
      <c r="I74">
        <v>0.06</v>
      </c>
      <c r="J74">
        <v>0.05</v>
      </c>
      <c r="K74">
        <v>0.08</v>
      </c>
      <c r="L74">
        <v>-0.01</v>
      </c>
      <c r="M74">
        <v>0.16</v>
      </c>
      <c r="N74">
        <v>-7.0000000000000007E-2</v>
      </c>
      <c r="O74">
        <v>-0.1</v>
      </c>
      <c r="P74">
        <v>-0.32</v>
      </c>
      <c r="Q74">
        <v>-0.11</v>
      </c>
      <c r="R74">
        <v>0</v>
      </c>
      <c r="S74">
        <v>0.04</v>
      </c>
    </row>
    <row r="75" spans="1:19" x14ac:dyDescent="0.3">
      <c r="A75">
        <v>1952</v>
      </c>
      <c r="B75">
        <v>0.11</v>
      </c>
      <c r="C75">
        <v>0.11</v>
      </c>
      <c r="D75">
        <v>-0.08</v>
      </c>
      <c r="E75">
        <v>0.03</v>
      </c>
      <c r="F75">
        <v>-0.03</v>
      </c>
      <c r="G75">
        <v>-0.03</v>
      </c>
      <c r="H75">
        <v>0.04</v>
      </c>
      <c r="I75">
        <v>0.05</v>
      </c>
      <c r="J75">
        <v>7.0000000000000007E-2</v>
      </c>
      <c r="K75">
        <v>0</v>
      </c>
      <c r="L75">
        <v>-0.13</v>
      </c>
      <c r="M75">
        <v>-0.02</v>
      </c>
      <c r="N75">
        <v>0.01</v>
      </c>
      <c r="O75">
        <v>0.03</v>
      </c>
      <c r="P75">
        <v>0.13</v>
      </c>
      <c r="Q75">
        <v>-0.02</v>
      </c>
      <c r="R75">
        <v>0.02</v>
      </c>
      <c r="S75">
        <v>-0.02</v>
      </c>
    </row>
    <row r="76" spans="1:19" x14ac:dyDescent="0.3">
      <c r="A76">
        <v>1953</v>
      </c>
      <c r="B76">
        <v>7.0000000000000007E-2</v>
      </c>
      <c r="C76">
        <v>0.15</v>
      </c>
      <c r="D76">
        <v>0.11</v>
      </c>
      <c r="E76">
        <v>0.19</v>
      </c>
      <c r="F76">
        <v>0.11</v>
      </c>
      <c r="G76">
        <v>0.12</v>
      </c>
      <c r="H76">
        <v>0.01</v>
      </c>
      <c r="I76">
        <v>0.05</v>
      </c>
      <c r="J76">
        <v>0.04</v>
      </c>
      <c r="K76">
        <v>0.08</v>
      </c>
      <c r="L76">
        <v>-0.03</v>
      </c>
      <c r="M76">
        <v>0.05</v>
      </c>
      <c r="N76">
        <v>0.08</v>
      </c>
      <c r="O76">
        <v>7.0000000000000007E-2</v>
      </c>
      <c r="P76">
        <v>7.0000000000000007E-2</v>
      </c>
      <c r="Q76">
        <v>0.14000000000000001</v>
      </c>
      <c r="R76">
        <v>0.06</v>
      </c>
      <c r="S76">
        <v>0.03</v>
      </c>
    </row>
    <row r="77" spans="1:19" x14ac:dyDescent="0.3">
      <c r="A77">
        <v>1954</v>
      </c>
      <c r="B77">
        <v>-0.24</v>
      </c>
      <c r="C77">
        <v>-0.1</v>
      </c>
      <c r="D77">
        <v>-0.14000000000000001</v>
      </c>
      <c r="E77">
        <v>-0.14000000000000001</v>
      </c>
      <c r="F77">
        <v>-0.2</v>
      </c>
      <c r="G77">
        <v>-0.18</v>
      </c>
      <c r="H77">
        <v>-0.19</v>
      </c>
      <c r="I77">
        <v>-0.17</v>
      </c>
      <c r="J77">
        <v>-0.1</v>
      </c>
      <c r="K77">
        <v>-0.02</v>
      </c>
      <c r="L77">
        <v>0.08</v>
      </c>
      <c r="M77">
        <v>-0.18</v>
      </c>
      <c r="N77">
        <v>-0.13</v>
      </c>
      <c r="O77">
        <v>-0.11</v>
      </c>
      <c r="P77">
        <v>-0.1</v>
      </c>
      <c r="Q77">
        <v>-0.16</v>
      </c>
      <c r="R77">
        <v>-0.18</v>
      </c>
      <c r="S77">
        <v>-0.01</v>
      </c>
    </row>
    <row r="78" spans="1:19" x14ac:dyDescent="0.3">
      <c r="A78">
        <v>1955</v>
      </c>
      <c r="B78">
        <v>0.13</v>
      </c>
      <c r="C78">
        <v>-0.16</v>
      </c>
      <c r="D78">
        <v>-0.32</v>
      </c>
      <c r="E78">
        <v>-0.22</v>
      </c>
      <c r="F78">
        <v>-0.2</v>
      </c>
      <c r="G78">
        <v>-0.14000000000000001</v>
      </c>
      <c r="H78">
        <v>-0.11</v>
      </c>
      <c r="I78">
        <v>0.02</v>
      </c>
      <c r="J78">
        <v>-0.11</v>
      </c>
      <c r="K78">
        <v>-0.05</v>
      </c>
      <c r="L78">
        <v>-0.25</v>
      </c>
      <c r="M78">
        <v>-0.28000000000000003</v>
      </c>
      <c r="N78">
        <v>-0.14000000000000001</v>
      </c>
      <c r="O78">
        <v>-0.13</v>
      </c>
      <c r="P78">
        <v>-7.0000000000000007E-2</v>
      </c>
      <c r="Q78">
        <v>-0.25</v>
      </c>
      <c r="R78">
        <v>-0.08</v>
      </c>
      <c r="S78">
        <v>-0.14000000000000001</v>
      </c>
    </row>
    <row r="79" spans="1:19" x14ac:dyDescent="0.3">
      <c r="A79">
        <v>1956</v>
      </c>
      <c r="B79">
        <v>-0.13</v>
      </c>
      <c r="C79">
        <v>-0.24</v>
      </c>
      <c r="D79">
        <v>-0.21</v>
      </c>
      <c r="E79">
        <v>-0.28000000000000003</v>
      </c>
      <c r="F79">
        <v>-0.28999999999999998</v>
      </c>
      <c r="G79">
        <v>-0.16</v>
      </c>
      <c r="H79">
        <v>-0.09</v>
      </c>
      <c r="I79">
        <v>-0.26</v>
      </c>
      <c r="J79">
        <v>-0.19</v>
      </c>
      <c r="K79">
        <v>-0.23</v>
      </c>
      <c r="L79">
        <v>-0.15</v>
      </c>
      <c r="M79">
        <v>-0.06</v>
      </c>
      <c r="N79">
        <v>-0.19</v>
      </c>
      <c r="O79">
        <v>-0.21</v>
      </c>
      <c r="P79">
        <v>-0.22</v>
      </c>
      <c r="Q79">
        <v>-0.26</v>
      </c>
      <c r="R79">
        <v>-0.17</v>
      </c>
      <c r="S79">
        <v>-0.19</v>
      </c>
    </row>
    <row r="80" spans="1:19" x14ac:dyDescent="0.3">
      <c r="A80">
        <v>1957</v>
      </c>
      <c r="B80">
        <v>-0.09</v>
      </c>
      <c r="C80">
        <v>-0.03</v>
      </c>
      <c r="D80">
        <v>-0.05</v>
      </c>
      <c r="E80">
        <v>0</v>
      </c>
      <c r="F80">
        <v>0.09</v>
      </c>
      <c r="G80">
        <v>0.16</v>
      </c>
      <c r="H80">
        <v>0.02</v>
      </c>
      <c r="I80">
        <v>0.15</v>
      </c>
      <c r="J80">
        <v>0.09</v>
      </c>
      <c r="K80">
        <v>0.01</v>
      </c>
      <c r="L80">
        <v>0.08</v>
      </c>
      <c r="M80">
        <v>0.15</v>
      </c>
      <c r="N80">
        <v>0.05</v>
      </c>
      <c r="O80">
        <v>0.03</v>
      </c>
      <c r="P80">
        <v>-0.06</v>
      </c>
      <c r="Q80">
        <v>0.01</v>
      </c>
      <c r="R80">
        <v>0.11</v>
      </c>
      <c r="S80">
        <v>0.06</v>
      </c>
    </row>
    <row r="81" spans="1:19" x14ac:dyDescent="0.3">
      <c r="A81">
        <v>1958</v>
      </c>
      <c r="B81">
        <v>0.39</v>
      </c>
      <c r="C81">
        <v>0.22</v>
      </c>
      <c r="D81">
        <v>0.08</v>
      </c>
      <c r="E81">
        <v>0.01</v>
      </c>
      <c r="F81">
        <v>0.06</v>
      </c>
      <c r="G81">
        <v>-0.08</v>
      </c>
      <c r="H81">
        <v>0.05</v>
      </c>
      <c r="I81">
        <v>-0.05</v>
      </c>
      <c r="J81">
        <v>-0.02</v>
      </c>
      <c r="K81">
        <v>0.04</v>
      </c>
      <c r="L81">
        <v>0.02</v>
      </c>
      <c r="M81">
        <v>0.01</v>
      </c>
      <c r="N81">
        <v>0.06</v>
      </c>
      <c r="O81">
        <v>7.0000000000000007E-2</v>
      </c>
      <c r="P81">
        <v>0.25</v>
      </c>
      <c r="Q81">
        <v>0.05</v>
      </c>
      <c r="R81">
        <v>-0.03</v>
      </c>
      <c r="S81">
        <v>0.01</v>
      </c>
    </row>
    <row r="82" spans="1:19" x14ac:dyDescent="0.3">
      <c r="A82">
        <v>1959</v>
      </c>
      <c r="B82">
        <v>0.08</v>
      </c>
      <c r="C82">
        <v>7.0000000000000007E-2</v>
      </c>
      <c r="D82">
        <v>0.18</v>
      </c>
      <c r="E82">
        <v>0.16</v>
      </c>
      <c r="F82">
        <v>0.04</v>
      </c>
      <c r="G82">
        <v>0.03</v>
      </c>
      <c r="H82">
        <v>0.03</v>
      </c>
      <c r="I82">
        <v>-0.01</v>
      </c>
      <c r="J82">
        <v>-0.06</v>
      </c>
      <c r="K82">
        <v>-7.0000000000000007E-2</v>
      </c>
      <c r="L82">
        <v>-0.08</v>
      </c>
      <c r="M82">
        <v>-0.01</v>
      </c>
      <c r="N82">
        <v>0.03</v>
      </c>
      <c r="O82">
        <v>0.03</v>
      </c>
      <c r="P82">
        <v>0.05</v>
      </c>
      <c r="Q82">
        <v>0.13</v>
      </c>
      <c r="R82">
        <v>0.02</v>
      </c>
      <c r="S82">
        <v>-7.0000000000000007E-2</v>
      </c>
    </row>
    <row r="83" spans="1:19" x14ac:dyDescent="0.3">
      <c r="A83">
        <v>1960</v>
      </c>
      <c r="B83">
        <v>0</v>
      </c>
      <c r="C83">
        <v>0.13</v>
      </c>
      <c r="D83">
        <v>-0.35</v>
      </c>
      <c r="E83">
        <v>-0.15</v>
      </c>
      <c r="F83">
        <v>-0.08</v>
      </c>
      <c r="G83">
        <v>-0.04</v>
      </c>
      <c r="H83">
        <v>-0.04</v>
      </c>
      <c r="I83">
        <v>0.02</v>
      </c>
      <c r="J83">
        <v>7.0000000000000007E-2</v>
      </c>
      <c r="K83">
        <v>0.06</v>
      </c>
      <c r="L83">
        <v>-0.11</v>
      </c>
      <c r="M83">
        <v>0.19</v>
      </c>
      <c r="N83">
        <v>-0.03</v>
      </c>
      <c r="O83">
        <v>-0.04</v>
      </c>
      <c r="P83">
        <v>0.04</v>
      </c>
      <c r="Q83">
        <v>-0.19</v>
      </c>
      <c r="R83">
        <v>-0.02</v>
      </c>
      <c r="S83">
        <v>0</v>
      </c>
    </row>
    <row r="84" spans="1:19" x14ac:dyDescent="0.3">
      <c r="A84">
        <v>1961</v>
      </c>
      <c r="B84">
        <v>7.0000000000000007E-2</v>
      </c>
      <c r="C84">
        <v>0.19</v>
      </c>
      <c r="D84">
        <v>0.09</v>
      </c>
      <c r="E84">
        <v>0.13</v>
      </c>
      <c r="F84">
        <v>0.12</v>
      </c>
      <c r="G84">
        <v>0.11</v>
      </c>
      <c r="H84">
        <v>0.01</v>
      </c>
      <c r="I84">
        <v>0.01</v>
      </c>
      <c r="J84">
        <v>0.09</v>
      </c>
      <c r="K84">
        <v>0</v>
      </c>
      <c r="L84">
        <v>0.03</v>
      </c>
      <c r="M84">
        <v>-0.16</v>
      </c>
      <c r="N84">
        <v>0.06</v>
      </c>
      <c r="O84">
        <v>0.09</v>
      </c>
      <c r="P84">
        <v>0.15</v>
      </c>
      <c r="Q84">
        <v>0.11</v>
      </c>
      <c r="R84">
        <v>0.04</v>
      </c>
      <c r="S84">
        <v>0.04</v>
      </c>
    </row>
    <row r="85" spans="1:19" x14ac:dyDescent="0.3">
      <c r="A85">
        <v>1962</v>
      </c>
      <c r="B85">
        <v>0.05</v>
      </c>
      <c r="C85">
        <v>0.15</v>
      </c>
      <c r="D85">
        <v>0.1</v>
      </c>
      <c r="E85">
        <v>0.05</v>
      </c>
      <c r="F85">
        <v>-0.06</v>
      </c>
      <c r="G85">
        <v>0.03</v>
      </c>
      <c r="H85">
        <v>0.02</v>
      </c>
      <c r="I85">
        <v>-0.01</v>
      </c>
      <c r="J85">
        <v>0</v>
      </c>
      <c r="K85">
        <v>0.01</v>
      </c>
      <c r="L85">
        <v>0.06</v>
      </c>
      <c r="M85">
        <v>-0.03</v>
      </c>
      <c r="N85">
        <v>0.03</v>
      </c>
      <c r="O85">
        <v>0.02</v>
      </c>
      <c r="P85">
        <v>0.01</v>
      </c>
      <c r="Q85">
        <v>0.03</v>
      </c>
      <c r="R85">
        <v>0.01</v>
      </c>
      <c r="S85">
        <v>0.02</v>
      </c>
    </row>
    <row r="86" spans="1:19" x14ac:dyDescent="0.3">
      <c r="A86">
        <v>1963</v>
      </c>
      <c r="B86">
        <v>-0.03</v>
      </c>
      <c r="C86">
        <v>0.18</v>
      </c>
      <c r="D86">
        <v>-0.14000000000000001</v>
      </c>
      <c r="E86">
        <v>-7.0000000000000007E-2</v>
      </c>
      <c r="F86">
        <v>-0.06</v>
      </c>
      <c r="G86">
        <v>0.05</v>
      </c>
      <c r="H86">
        <v>0.06</v>
      </c>
      <c r="I86">
        <v>0.22</v>
      </c>
      <c r="J86">
        <v>0.18</v>
      </c>
      <c r="K86">
        <v>0.15</v>
      </c>
      <c r="L86">
        <v>0.15</v>
      </c>
      <c r="M86">
        <v>-0.03</v>
      </c>
      <c r="N86">
        <v>0.05</v>
      </c>
      <c r="O86">
        <v>0.05</v>
      </c>
      <c r="P86">
        <v>0.04</v>
      </c>
      <c r="Q86">
        <v>-0.09</v>
      </c>
      <c r="R86">
        <v>0.11</v>
      </c>
      <c r="S86">
        <v>0.16</v>
      </c>
    </row>
    <row r="87" spans="1:19" x14ac:dyDescent="0.3">
      <c r="A87">
        <v>1964</v>
      </c>
      <c r="B87">
        <v>-0.09</v>
      </c>
      <c r="C87">
        <v>-0.1</v>
      </c>
      <c r="D87">
        <v>-0.21</v>
      </c>
      <c r="E87">
        <v>-0.32</v>
      </c>
      <c r="F87">
        <v>-0.25</v>
      </c>
      <c r="G87">
        <v>-0.04</v>
      </c>
      <c r="H87">
        <v>-0.04</v>
      </c>
      <c r="I87">
        <v>-0.22</v>
      </c>
      <c r="J87">
        <v>-0.28999999999999998</v>
      </c>
      <c r="K87">
        <v>-0.31</v>
      </c>
      <c r="L87">
        <v>-0.21</v>
      </c>
      <c r="M87">
        <v>-0.3</v>
      </c>
      <c r="N87">
        <v>-0.2</v>
      </c>
      <c r="O87">
        <v>-0.18</v>
      </c>
      <c r="P87">
        <v>-7.0000000000000007E-2</v>
      </c>
      <c r="Q87">
        <v>-0.26</v>
      </c>
      <c r="R87">
        <v>-0.1</v>
      </c>
      <c r="S87">
        <v>-0.27</v>
      </c>
    </row>
    <row r="88" spans="1:19" x14ac:dyDescent="0.3">
      <c r="A88">
        <v>1965</v>
      </c>
      <c r="B88">
        <v>-0.08</v>
      </c>
      <c r="C88">
        <v>-0.17</v>
      </c>
      <c r="D88">
        <v>-0.13</v>
      </c>
      <c r="E88">
        <v>-0.19</v>
      </c>
      <c r="F88">
        <v>-0.12</v>
      </c>
      <c r="G88">
        <v>-0.08</v>
      </c>
      <c r="H88">
        <v>-0.13</v>
      </c>
      <c r="I88">
        <v>-0.04</v>
      </c>
      <c r="J88">
        <v>-0.15</v>
      </c>
      <c r="K88">
        <v>-0.05</v>
      </c>
      <c r="L88">
        <v>-0.06</v>
      </c>
      <c r="M88">
        <v>-0.08</v>
      </c>
      <c r="N88">
        <v>-0.11</v>
      </c>
      <c r="O88">
        <v>-0.12</v>
      </c>
      <c r="P88">
        <v>-0.18</v>
      </c>
      <c r="Q88">
        <v>-0.15</v>
      </c>
      <c r="R88">
        <v>-0.09</v>
      </c>
      <c r="S88">
        <v>-0.09</v>
      </c>
    </row>
    <row r="89" spans="1:19" x14ac:dyDescent="0.3">
      <c r="A89">
        <v>1966</v>
      </c>
      <c r="B89">
        <v>-0.19</v>
      </c>
      <c r="C89">
        <v>-0.04</v>
      </c>
      <c r="D89">
        <v>0.03</v>
      </c>
      <c r="E89">
        <v>-0.13</v>
      </c>
      <c r="F89">
        <v>-0.12</v>
      </c>
      <c r="G89">
        <v>0.01</v>
      </c>
      <c r="H89">
        <v>0.08</v>
      </c>
      <c r="I89">
        <v>-0.09</v>
      </c>
      <c r="J89">
        <v>-0.03</v>
      </c>
      <c r="K89">
        <v>-0.17</v>
      </c>
      <c r="L89">
        <v>-0.01</v>
      </c>
      <c r="M89">
        <v>-0.03</v>
      </c>
      <c r="N89">
        <v>-0.06</v>
      </c>
      <c r="O89">
        <v>-0.06</v>
      </c>
      <c r="P89">
        <v>-0.1</v>
      </c>
      <c r="Q89">
        <v>-7.0000000000000007E-2</v>
      </c>
      <c r="R89">
        <v>0</v>
      </c>
      <c r="S89">
        <v>-7.0000000000000007E-2</v>
      </c>
    </row>
    <row r="90" spans="1:19" x14ac:dyDescent="0.3">
      <c r="A90">
        <v>1967</v>
      </c>
      <c r="B90">
        <v>-7.0000000000000007E-2</v>
      </c>
      <c r="C90">
        <v>-0.21</v>
      </c>
      <c r="D90">
        <v>0.05</v>
      </c>
      <c r="E90">
        <v>-0.05</v>
      </c>
      <c r="F90">
        <v>0.12</v>
      </c>
      <c r="G90">
        <v>-0.08</v>
      </c>
      <c r="H90">
        <v>0.02</v>
      </c>
      <c r="I90">
        <v>0.01</v>
      </c>
      <c r="J90">
        <v>-0.06</v>
      </c>
      <c r="K90">
        <v>0.09</v>
      </c>
      <c r="L90">
        <v>-0.05</v>
      </c>
      <c r="M90">
        <v>-0.05</v>
      </c>
      <c r="N90">
        <v>-0.02</v>
      </c>
      <c r="O90">
        <v>-0.02</v>
      </c>
      <c r="P90">
        <v>-0.1</v>
      </c>
      <c r="Q90">
        <v>0.04</v>
      </c>
      <c r="R90">
        <v>-0.02</v>
      </c>
      <c r="S90">
        <v>-0.01</v>
      </c>
    </row>
    <row r="91" spans="1:19" x14ac:dyDescent="0.3">
      <c r="A91">
        <v>1968</v>
      </c>
      <c r="B91">
        <v>-0.26</v>
      </c>
      <c r="C91">
        <v>-0.14000000000000001</v>
      </c>
      <c r="D91">
        <v>0.2</v>
      </c>
      <c r="E91">
        <v>-0.06</v>
      </c>
      <c r="F91">
        <v>-0.14000000000000001</v>
      </c>
      <c r="G91">
        <v>-0.09</v>
      </c>
      <c r="H91">
        <v>-0.13</v>
      </c>
      <c r="I91">
        <v>-0.09</v>
      </c>
      <c r="J91">
        <v>-0.19</v>
      </c>
      <c r="K91">
        <v>0.09</v>
      </c>
      <c r="L91">
        <v>-0.05</v>
      </c>
      <c r="M91">
        <v>-0.14000000000000001</v>
      </c>
      <c r="N91">
        <v>-0.08</v>
      </c>
      <c r="O91">
        <v>-0.08</v>
      </c>
      <c r="P91">
        <v>-0.15</v>
      </c>
      <c r="Q91">
        <v>0</v>
      </c>
      <c r="R91">
        <v>-0.1</v>
      </c>
      <c r="S91">
        <v>-0.05</v>
      </c>
    </row>
    <row r="92" spans="1:19" x14ac:dyDescent="0.3">
      <c r="A92">
        <v>1969</v>
      </c>
      <c r="B92">
        <v>-0.11</v>
      </c>
      <c r="C92">
        <v>-0.18</v>
      </c>
      <c r="D92">
        <v>0.01</v>
      </c>
      <c r="E92">
        <v>0.17</v>
      </c>
      <c r="F92">
        <v>0.18</v>
      </c>
      <c r="G92">
        <v>0.03</v>
      </c>
      <c r="H92">
        <v>-0.04</v>
      </c>
      <c r="I92">
        <v>0.03</v>
      </c>
      <c r="J92">
        <v>0.08</v>
      </c>
      <c r="K92">
        <v>0.09</v>
      </c>
      <c r="L92">
        <v>0.12</v>
      </c>
      <c r="M92">
        <v>0.24</v>
      </c>
      <c r="N92">
        <v>0.05</v>
      </c>
      <c r="O92">
        <v>0.02</v>
      </c>
      <c r="P92">
        <v>-0.14000000000000001</v>
      </c>
      <c r="Q92">
        <v>0.12</v>
      </c>
      <c r="R92">
        <v>0.01</v>
      </c>
      <c r="S92">
        <v>0.1</v>
      </c>
    </row>
    <row r="93" spans="1:19" x14ac:dyDescent="0.3">
      <c r="A93">
        <v>1970</v>
      </c>
      <c r="B93">
        <v>0.08</v>
      </c>
      <c r="C93">
        <v>0.22</v>
      </c>
      <c r="D93">
        <v>0.06</v>
      </c>
      <c r="E93">
        <v>0.05</v>
      </c>
      <c r="F93">
        <v>-0.03</v>
      </c>
      <c r="G93">
        <v>-0.03</v>
      </c>
      <c r="H93">
        <v>0.01</v>
      </c>
      <c r="I93">
        <v>-0.1</v>
      </c>
      <c r="J93">
        <v>0.12</v>
      </c>
      <c r="K93">
        <v>0.03</v>
      </c>
      <c r="L93">
        <v>0.02</v>
      </c>
      <c r="M93">
        <v>-0.12</v>
      </c>
      <c r="N93">
        <v>0.03</v>
      </c>
      <c r="O93">
        <v>0.06</v>
      </c>
      <c r="P93">
        <v>0.18</v>
      </c>
      <c r="Q93">
        <v>0.03</v>
      </c>
      <c r="R93">
        <v>-0.04</v>
      </c>
      <c r="S93">
        <v>0.06</v>
      </c>
    </row>
    <row r="94" spans="1:19" x14ac:dyDescent="0.3">
      <c r="A94">
        <v>1971</v>
      </c>
      <c r="B94">
        <v>-0.02</v>
      </c>
      <c r="C94">
        <v>-0.15</v>
      </c>
      <c r="D94">
        <v>-0.18</v>
      </c>
      <c r="E94">
        <v>-7.0000000000000007E-2</v>
      </c>
      <c r="F94">
        <v>-0.05</v>
      </c>
      <c r="G94">
        <v>-0.16</v>
      </c>
      <c r="H94">
        <v>-0.08</v>
      </c>
      <c r="I94">
        <v>-0.01</v>
      </c>
      <c r="J94">
        <v>-0.06</v>
      </c>
      <c r="K94">
        <v>-0.04</v>
      </c>
      <c r="L94">
        <v>-7.0000000000000007E-2</v>
      </c>
      <c r="M94">
        <v>-0.08</v>
      </c>
      <c r="N94">
        <v>-0.08</v>
      </c>
      <c r="O94">
        <v>-0.08</v>
      </c>
      <c r="P94">
        <v>-0.1</v>
      </c>
      <c r="Q94">
        <v>-0.1</v>
      </c>
      <c r="R94">
        <v>-0.08</v>
      </c>
      <c r="S94">
        <v>-0.06</v>
      </c>
    </row>
    <row r="95" spans="1:19" x14ac:dyDescent="0.3">
      <c r="A95">
        <v>1972</v>
      </c>
      <c r="B95">
        <v>-0.22</v>
      </c>
      <c r="C95">
        <v>-0.18</v>
      </c>
      <c r="D95">
        <v>0.02</v>
      </c>
      <c r="E95">
        <v>0</v>
      </c>
      <c r="F95">
        <v>-0.03</v>
      </c>
      <c r="G95">
        <v>0.04</v>
      </c>
      <c r="H95">
        <v>0.01</v>
      </c>
      <c r="I95">
        <v>0.16</v>
      </c>
      <c r="J95">
        <v>0.02</v>
      </c>
      <c r="K95">
        <v>0.08</v>
      </c>
      <c r="L95">
        <v>0.02</v>
      </c>
      <c r="M95">
        <v>0.18</v>
      </c>
      <c r="N95">
        <v>0.01</v>
      </c>
      <c r="O95">
        <v>-0.01</v>
      </c>
      <c r="P95">
        <v>-0.16</v>
      </c>
      <c r="Q95">
        <v>0</v>
      </c>
      <c r="R95">
        <v>7.0000000000000007E-2</v>
      </c>
      <c r="S95">
        <v>0.04</v>
      </c>
    </row>
    <row r="96" spans="1:19" x14ac:dyDescent="0.3">
      <c r="A96">
        <v>1973</v>
      </c>
      <c r="B96">
        <v>0.28999999999999998</v>
      </c>
      <c r="C96">
        <v>0.32</v>
      </c>
      <c r="D96">
        <v>0.28999999999999998</v>
      </c>
      <c r="E96">
        <v>0.27</v>
      </c>
      <c r="F96">
        <v>0.23</v>
      </c>
      <c r="G96">
        <v>0.19</v>
      </c>
      <c r="H96">
        <v>0.13</v>
      </c>
      <c r="I96">
        <v>0.05</v>
      </c>
      <c r="J96">
        <v>0.09</v>
      </c>
      <c r="K96">
        <v>0.1</v>
      </c>
      <c r="L96">
        <v>0.05</v>
      </c>
      <c r="M96">
        <v>-7.0000000000000007E-2</v>
      </c>
      <c r="N96">
        <v>0.16</v>
      </c>
      <c r="O96">
        <v>0.18</v>
      </c>
      <c r="P96">
        <v>0.26</v>
      </c>
      <c r="Q96">
        <v>0.26</v>
      </c>
      <c r="R96">
        <v>0.12</v>
      </c>
      <c r="S96">
        <v>0.08</v>
      </c>
    </row>
    <row r="97" spans="1:19" x14ac:dyDescent="0.3">
      <c r="A97">
        <v>1974</v>
      </c>
      <c r="B97">
        <v>-0.1</v>
      </c>
      <c r="C97">
        <v>-0.27</v>
      </c>
      <c r="D97">
        <v>-0.05</v>
      </c>
      <c r="E97">
        <v>-0.12</v>
      </c>
      <c r="F97">
        <v>-0.04</v>
      </c>
      <c r="G97">
        <v>-0.05</v>
      </c>
      <c r="H97">
        <v>-0.03</v>
      </c>
      <c r="I97">
        <v>0.1</v>
      </c>
      <c r="J97">
        <v>-0.08</v>
      </c>
      <c r="K97">
        <v>-0.06</v>
      </c>
      <c r="L97">
        <v>-0.08</v>
      </c>
      <c r="M97">
        <v>-0.08</v>
      </c>
      <c r="N97">
        <v>-7.0000000000000007E-2</v>
      </c>
      <c r="O97">
        <v>-7.0000000000000007E-2</v>
      </c>
      <c r="P97">
        <v>-0.14000000000000001</v>
      </c>
      <c r="Q97">
        <v>-7.0000000000000007E-2</v>
      </c>
      <c r="R97">
        <v>0.01</v>
      </c>
      <c r="S97">
        <v>-7.0000000000000007E-2</v>
      </c>
    </row>
    <row r="98" spans="1:19" x14ac:dyDescent="0.3">
      <c r="A98">
        <v>1975</v>
      </c>
      <c r="B98">
        <v>0.1</v>
      </c>
      <c r="C98">
        <v>0.08</v>
      </c>
      <c r="D98">
        <v>0.12</v>
      </c>
      <c r="E98">
        <v>0.04</v>
      </c>
      <c r="F98">
        <v>0.16</v>
      </c>
      <c r="G98">
        <v>-0.01</v>
      </c>
      <c r="H98">
        <v>-0.01</v>
      </c>
      <c r="I98">
        <v>-0.17</v>
      </c>
      <c r="J98">
        <v>-0.03</v>
      </c>
      <c r="K98">
        <v>-0.11</v>
      </c>
      <c r="L98">
        <v>-0.17</v>
      </c>
      <c r="M98">
        <v>-0.17</v>
      </c>
      <c r="N98">
        <v>-0.01</v>
      </c>
      <c r="O98">
        <v>-0.01</v>
      </c>
      <c r="P98">
        <v>0.03</v>
      </c>
      <c r="Q98">
        <v>0.11</v>
      </c>
      <c r="R98">
        <v>-0.06</v>
      </c>
      <c r="S98">
        <v>-0.1</v>
      </c>
    </row>
    <row r="99" spans="1:19" x14ac:dyDescent="0.3">
      <c r="A99">
        <v>1976</v>
      </c>
      <c r="B99">
        <v>-0.03</v>
      </c>
      <c r="C99">
        <v>-0.06</v>
      </c>
      <c r="D99">
        <v>-0.22</v>
      </c>
      <c r="E99">
        <v>-7.0000000000000007E-2</v>
      </c>
      <c r="F99">
        <v>-0.21</v>
      </c>
      <c r="G99">
        <v>-0.12</v>
      </c>
      <c r="H99">
        <v>-0.1</v>
      </c>
      <c r="I99">
        <v>-0.12</v>
      </c>
      <c r="J99">
        <v>-7.0000000000000007E-2</v>
      </c>
      <c r="K99">
        <v>-0.24</v>
      </c>
      <c r="L99">
        <v>-0.06</v>
      </c>
      <c r="M99">
        <v>0.11</v>
      </c>
      <c r="N99">
        <v>-0.1</v>
      </c>
      <c r="O99">
        <v>-0.12</v>
      </c>
      <c r="P99">
        <v>-0.09</v>
      </c>
      <c r="Q99">
        <v>-0.16</v>
      </c>
      <c r="R99">
        <v>-0.11</v>
      </c>
      <c r="S99">
        <v>-0.12</v>
      </c>
    </row>
    <row r="100" spans="1:19" x14ac:dyDescent="0.3">
      <c r="A100">
        <v>1977</v>
      </c>
      <c r="B100">
        <v>0.18</v>
      </c>
      <c r="C100">
        <v>0.23</v>
      </c>
      <c r="D100">
        <v>0.24</v>
      </c>
      <c r="E100">
        <v>0.26</v>
      </c>
      <c r="F100">
        <v>0.33</v>
      </c>
      <c r="G100">
        <v>0.27</v>
      </c>
      <c r="H100">
        <v>0.2</v>
      </c>
      <c r="I100">
        <v>0.18</v>
      </c>
      <c r="J100">
        <v>0.02</v>
      </c>
      <c r="K100">
        <v>0.03</v>
      </c>
      <c r="L100">
        <v>0.16</v>
      </c>
      <c r="M100">
        <v>0.03</v>
      </c>
      <c r="N100">
        <v>0.18</v>
      </c>
      <c r="O100">
        <v>0.18</v>
      </c>
      <c r="P100">
        <v>0.17</v>
      </c>
      <c r="Q100">
        <v>0.28000000000000003</v>
      </c>
      <c r="R100">
        <v>0.22</v>
      </c>
      <c r="S100">
        <v>7.0000000000000007E-2</v>
      </c>
    </row>
    <row r="101" spans="1:19" x14ac:dyDescent="0.3">
      <c r="A101">
        <v>1978</v>
      </c>
      <c r="B101">
        <v>0.06</v>
      </c>
      <c r="C101">
        <v>0.1</v>
      </c>
      <c r="D101">
        <v>0.19</v>
      </c>
      <c r="E101">
        <v>0.17</v>
      </c>
      <c r="F101">
        <v>0.09</v>
      </c>
      <c r="G101">
        <v>-0.01</v>
      </c>
      <c r="H101">
        <v>0.04</v>
      </c>
      <c r="I101">
        <v>-0.13</v>
      </c>
      <c r="J101">
        <v>0.06</v>
      </c>
      <c r="K101">
        <v>0.03</v>
      </c>
      <c r="L101">
        <v>0.14000000000000001</v>
      </c>
      <c r="M101">
        <v>0.08</v>
      </c>
      <c r="N101">
        <v>7.0000000000000007E-2</v>
      </c>
      <c r="O101">
        <v>0.06</v>
      </c>
      <c r="P101">
        <v>0.06</v>
      </c>
      <c r="Q101">
        <v>0.15</v>
      </c>
      <c r="R101">
        <v>-0.04</v>
      </c>
      <c r="S101">
        <v>0.08</v>
      </c>
    </row>
    <row r="102" spans="1:19" x14ac:dyDescent="0.3">
      <c r="A102">
        <v>1979</v>
      </c>
      <c r="B102">
        <v>0.08</v>
      </c>
      <c r="C102">
        <v>-0.1</v>
      </c>
      <c r="D102">
        <v>0.19</v>
      </c>
      <c r="E102">
        <v>0.15</v>
      </c>
      <c r="F102">
        <v>0.04</v>
      </c>
      <c r="G102">
        <v>0.14000000000000001</v>
      </c>
      <c r="H102">
        <v>0.04</v>
      </c>
      <c r="I102">
        <v>0.17</v>
      </c>
      <c r="J102">
        <v>0.25</v>
      </c>
      <c r="K102">
        <v>0.26</v>
      </c>
      <c r="L102">
        <v>0.28000000000000003</v>
      </c>
      <c r="M102">
        <v>0.48</v>
      </c>
      <c r="N102">
        <v>0.16</v>
      </c>
      <c r="O102">
        <v>0.13</v>
      </c>
      <c r="P102">
        <v>0.02</v>
      </c>
      <c r="Q102">
        <v>0.13</v>
      </c>
      <c r="R102">
        <v>0.11</v>
      </c>
      <c r="S102">
        <v>0.26</v>
      </c>
    </row>
    <row r="103" spans="1:19" x14ac:dyDescent="0.3">
      <c r="A103">
        <v>1980</v>
      </c>
      <c r="B103">
        <v>0.3</v>
      </c>
      <c r="C103">
        <v>0.39</v>
      </c>
      <c r="D103">
        <v>0.3</v>
      </c>
      <c r="E103">
        <v>0.3</v>
      </c>
      <c r="F103">
        <v>0.35</v>
      </c>
      <c r="G103">
        <v>0.2</v>
      </c>
      <c r="H103">
        <v>0.22</v>
      </c>
      <c r="I103">
        <v>0.18</v>
      </c>
      <c r="J103">
        <v>0.2</v>
      </c>
      <c r="K103">
        <v>0.13</v>
      </c>
      <c r="L103">
        <v>0.28999999999999998</v>
      </c>
      <c r="M103">
        <v>0.21</v>
      </c>
      <c r="N103">
        <v>0.26</v>
      </c>
      <c r="O103">
        <v>0.28000000000000003</v>
      </c>
      <c r="P103">
        <v>0.39</v>
      </c>
      <c r="Q103">
        <v>0.32</v>
      </c>
      <c r="R103">
        <v>0.2</v>
      </c>
      <c r="S103">
        <v>0.21</v>
      </c>
    </row>
    <row r="104" spans="1:19" x14ac:dyDescent="0.3">
      <c r="A104">
        <v>1981</v>
      </c>
      <c r="B104">
        <v>0.53</v>
      </c>
      <c r="C104">
        <v>0.42</v>
      </c>
      <c r="D104">
        <v>0.48</v>
      </c>
      <c r="E104">
        <v>0.32</v>
      </c>
      <c r="F104">
        <v>0.24</v>
      </c>
      <c r="G104">
        <v>0.28999999999999998</v>
      </c>
      <c r="H104">
        <v>0.32</v>
      </c>
      <c r="I104">
        <v>0.35</v>
      </c>
      <c r="J104">
        <v>0.15</v>
      </c>
      <c r="K104">
        <v>0.12</v>
      </c>
      <c r="L104">
        <v>0.23</v>
      </c>
      <c r="M104">
        <v>0.41</v>
      </c>
      <c r="N104">
        <v>0.32</v>
      </c>
      <c r="O104">
        <v>0.31</v>
      </c>
      <c r="P104">
        <v>0.39</v>
      </c>
      <c r="Q104">
        <v>0.35</v>
      </c>
      <c r="R104">
        <v>0.32</v>
      </c>
      <c r="S104">
        <v>0.16</v>
      </c>
    </row>
    <row r="105" spans="1:19" x14ac:dyDescent="0.3">
      <c r="A105">
        <v>1982</v>
      </c>
      <c r="B105">
        <v>0.05</v>
      </c>
      <c r="C105">
        <v>0.15</v>
      </c>
      <c r="D105">
        <v>0.03</v>
      </c>
      <c r="E105">
        <v>0.15</v>
      </c>
      <c r="F105">
        <v>0.18</v>
      </c>
      <c r="G105">
        <v>0.05</v>
      </c>
      <c r="H105">
        <v>0.14000000000000001</v>
      </c>
      <c r="I105">
        <v>0.04</v>
      </c>
      <c r="J105">
        <v>0.14000000000000001</v>
      </c>
      <c r="K105">
        <v>0.13</v>
      </c>
      <c r="L105">
        <v>0.18</v>
      </c>
      <c r="M105">
        <v>0.42</v>
      </c>
      <c r="N105">
        <v>0.14000000000000001</v>
      </c>
      <c r="O105">
        <v>0.14000000000000001</v>
      </c>
      <c r="P105">
        <v>0.2</v>
      </c>
      <c r="Q105">
        <v>0.12</v>
      </c>
      <c r="R105">
        <v>0.08</v>
      </c>
      <c r="S105">
        <v>0.15</v>
      </c>
    </row>
    <row r="106" spans="1:19" x14ac:dyDescent="0.3">
      <c r="A106">
        <v>1983</v>
      </c>
      <c r="B106">
        <v>0.53</v>
      </c>
      <c r="C106">
        <v>0.43</v>
      </c>
      <c r="D106">
        <v>0.41</v>
      </c>
      <c r="E106">
        <v>0.27</v>
      </c>
      <c r="F106">
        <v>0.34</v>
      </c>
      <c r="G106">
        <v>0.22</v>
      </c>
      <c r="H106">
        <v>0.18</v>
      </c>
      <c r="I106">
        <v>0.35</v>
      </c>
      <c r="J106">
        <v>0.37</v>
      </c>
      <c r="K106">
        <v>0.17</v>
      </c>
      <c r="L106">
        <v>0.3</v>
      </c>
      <c r="M106">
        <v>0.17</v>
      </c>
      <c r="N106">
        <v>0.31</v>
      </c>
      <c r="O106">
        <v>0.33</v>
      </c>
      <c r="P106">
        <v>0.46</v>
      </c>
      <c r="Q106">
        <v>0.34</v>
      </c>
      <c r="R106">
        <v>0.25</v>
      </c>
      <c r="S106">
        <v>0.28000000000000003</v>
      </c>
    </row>
    <row r="107" spans="1:19" x14ac:dyDescent="0.3">
      <c r="A107">
        <v>1984</v>
      </c>
      <c r="B107">
        <v>0.31</v>
      </c>
      <c r="C107">
        <v>0.14000000000000001</v>
      </c>
      <c r="D107">
        <v>0.26</v>
      </c>
      <c r="E107">
        <v>0.06</v>
      </c>
      <c r="F107">
        <v>0.33</v>
      </c>
      <c r="G107">
        <v>0.02</v>
      </c>
      <c r="H107">
        <v>0.19</v>
      </c>
      <c r="I107">
        <v>0.19</v>
      </c>
      <c r="J107">
        <v>0.21</v>
      </c>
      <c r="K107">
        <v>0.14000000000000001</v>
      </c>
      <c r="L107">
        <v>7.0000000000000007E-2</v>
      </c>
      <c r="M107">
        <v>-0.04</v>
      </c>
      <c r="N107">
        <v>0.16</v>
      </c>
      <c r="O107">
        <v>0.17</v>
      </c>
      <c r="P107">
        <v>0.21</v>
      </c>
      <c r="Q107">
        <v>0.21</v>
      </c>
      <c r="R107">
        <v>0.14000000000000001</v>
      </c>
      <c r="S107">
        <v>0.14000000000000001</v>
      </c>
    </row>
    <row r="108" spans="1:19" x14ac:dyDescent="0.3">
      <c r="A108">
        <v>1985</v>
      </c>
      <c r="B108">
        <v>0.22</v>
      </c>
      <c r="C108">
        <v>-0.04</v>
      </c>
      <c r="D108">
        <v>0.17</v>
      </c>
      <c r="E108">
        <v>0.12</v>
      </c>
      <c r="F108">
        <v>0.14000000000000001</v>
      </c>
      <c r="G108">
        <v>0.15</v>
      </c>
      <c r="H108">
        <v>0.04</v>
      </c>
      <c r="I108">
        <v>0.17</v>
      </c>
      <c r="J108">
        <v>0.13</v>
      </c>
      <c r="K108">
        <v>0.11</v>
      </c>
      <c r="L108">
        <v>0.05</v>
      </c>
      <c r="M108">
        <v>0.14000000000000001</v>
      </c>
      <c r="N108">
        <v>0.12</v>
      </c>
      <c r="O108">
        <v>0.1</v>
      </c>
      <c r="P108">
        <v>0.05</v>
      </c>
      <c r="Q108">
        <v>0.15</v>
      </c>
      <c r="R108">
        <v>0.12</v>
      </c>
      <c r="S108">
        <v>0.1</v>
      </c>
    </row>
    <row r="109" spans="1:19" x14ac:dyDescent="0.3">
      <c r="A109">
        <v>1986</v>
      </c>
      <c r="B109">
        <v>0.26</v>
      </c>
      <c r="C109">
        <v>0.37</v>
      </c>
      <c r="D109">
        <v>0.3</v>
      </c>
      <c r="E109">
        <v>0.22</v>
      </c>
      <c r="F109">
        <v>0.21</v>
      </c>
      <c r="G109">
        <v>0.12</v>
      </c>
      <c r="H109">
        <v>0.11</v>
      </c>
      <c r="I109">
        <v>0.16</v>
      </c>
      <c r="J109">
        <v>0.03</v>
      </c>
      <c r="K109">
        <v>0.15</v>
      </c>
      <c r="L109">
        <v>0.1</v>
      </c>
      <c r="M109">
        <v>0.13</v>
      </c>
      <c r="N109">
        <v>0.18</v>
      </c>
      <c r="O109">
        <v>0.18</v>
      </c>
      <c r="P109">
        <v>0.26</v>
      </c>
      <c r="Q109">
        <v>0.25</v>
      </c>
      <c r="R109">
        <v>0.13</v>
      </c>
      <c r="S109">
        <v>0.1</v>
      </c>
    </row>
    <row r="110" spans="1:19" x14ac:dyDescent="0.3">
      <c r="A110">
        <v>1987</v>
      </c>
      <c r="B110">
        <v>0.32</v>
      </c>
      <c r="C110">
        <v>0.43</v>
      </c>
      <c r="D110">
        <v>0.18</v>
      </c>
      <c r="E110">
        <v>0.24</v>
      </c>
      <c r="F110">
        <v>0.25</v>
      </c>
      <c r="G110">
        <v>0.35</v>
      </c>
      <c r="H110">
        <v>0.4</v>
      </c>
      <c r="I110">
        <v>0.25</v>
      </c>
      <c r="J110">
        <v>0.35</v>
      </c>
      <c r="K110">
        <v>0.33</v>
      </c>
      <c r="L110">
        <v>0.28999999999999998</v>
      </c>
      <c r="M110">
        <v>0.46</v>
      </c>
      <c r="N110">
        <v>0.32</v>
      </c>
      <c r="O110">
        <v>0.28999999999999998</v>
      </c>
      <c r="P110">
        <v>0.28999999999999998</v>
      </c>
      <c r="Q110">
        <v>0.23</v>
      </c>
      <c r="R110">
        <v>0.33</v>
      </c>
      <c r="S110">
        <v>0.32</v>
      </c>
    </row>
    <row r="111" spans="1:19" x14ac:dyDescent="0.3">
      <c r="A111">
        <v>1988</v>
      </c>
      <c r="B111">
        <v>0.56999999999999995</v>
      </c>
      <c r="C111">
        <v>0.44</v>
      </c>
      <c r="D111">
        <v>0.51</v>
      </c>
      <c r="E111">
        <v>0.43</v>
      </c>
      <c r="F111">
        <v>0.44</v>
      </c>
      <c r="G111">
        <v>0.4</v>
      </c>
      <c r="H111">
        <v>0.33</v>
      </c>
      <c r="I111">
        <v>0.39</v>
      </c>
      <c r="J111">
        <v>0.37</v>
      </c>
      <c r="K111">
        <v>0.38</v>
      </c>
      <c r="L111">
        <v>0.12</v>
      </c>
      <c r="M111">
        <v>0.28999999999999998</v>
      </c>
      <c r="N111">
        <v>0.39</v>
      </c>
      <c r="O111">
        <v>0.4</v>
      </c>
      <c r="P111">
        <v>0.49</v>
      </c>
      <c r="Q111">
        <v>0.46</v>
      </c>
      <c r="R111">
        <v>0.37</v>
      </c>
      <c r="S111">
        <v>0.28999999999999998</v>
      </c>
    </row>
    <row r="112" spans="1:19" x14ac:dyDescent="0.3">
      <c r="A112">
        <v>1989</v>
      </c>
      <c r="B112">
        <v>0.13</v>
      </c>
      <c r="C112">
        <v>0.3</v>
      </c>
      <c r="D112">
        <v>0.36</v>
      </c>
      <c r="E112">
        <v>0.28999999999999998</v>
      </c>
      <c r="F112">
        <v>0.17</v>
      </c>
      <c r="G112">
        <v>0.15</v>
      </c>
      <c r="H112">
        <v>0.34</v>
      </c>
      <c r="I112">
        <v>0.33</v>
      </c>
      <c r="J112">
        <v>0.34</v>
      </c>
      <c r="K112">
        <v>0.28999999999999998</v>
      </c>
      <c r="L112">
        <v>0.2</v>
      </c>
      <c r="M112">
        <v>0.37</v>
      </c>
      <c r="N112">
        <v>0.27</v>
      </c>
      <c r="O112">
        <v>0.27</v>
      </c>
      <c r="P112">
        <v>0.24</v>
      </c>
      <c r="Q112">
        <v>0.28000000000000003</v>
      </c>
      <c r="R112">
        <v>0.27</v>
      </c>
      <c r="S112">
        <v>0.28000000000000003</v>
      </c>
    </row>
    <row r="113" spans="1:19" x14ac:dyDescent="0.3">
      <c r="A113">
        <v>1990</v>
      </c>
      <c r="B113">
        <v>0.41</v>
      </c>
      <c r="C113">
        <v>0.44</v>
      </c>
      <c r="D113">
        <v>0.8</v>
      </c>
      <c r="E113">
        <v>0.56000000000000005</v>
      </c>
      <c r="F113">
        <v>0.45</v>
      </c>
      <c r="G113">
        <v>0.37</v>
      </c>
      <c r="H113">
        <v>0.45</v>
      </c>
      <c r="I113">
        <v>0.34</v>
      </c>
      <c r="J113">
        <v>0.23</v>
      </c>
      <c r="K113">
        <v>0.45</v>
      </c>
      <c r="L113">
        <v>0.46</v>
      </c>
      <c r="M113">
        <v>0.41</v>
      </c>
      <c r="N113">
        <v>0.45</v>
      </c>
      <c r="O113">
        <v>0.45</v>
      </c>
      <c r="P113">
        <v>0.41</v>
      </c>
      <c r="Q113">
        <v>0.61</v>
      </c>
      <c r="R113">
        <v>0.39</v>
      </c>
      <c r="S113">
        <v>0.38</v>
      </c>
    </row>
    <row r="114" spans="1:19" x14ac:dyDescent="0.3">
      <c r="A114">
        <v>1991</v>
      </c>
      <c r="B114">
        <v>0.42</v>
      </c>
      <c r="C114">
        <v>0.5</v>
      </c>
      <c r="D114">
        <v>0.35</v>
      </c>
      <c r="E114">
        <v>0.51</v>
      </c>
      <c r="F114">
        <v>0.34</v>
      </c>
      <c r="G114">
        <v>0.53</v>
      </c>
      <c r="H114">
        <v>0.47</v>
      </c>
      <c r="I114">
        <v>0.39</v>
      </c>
      <c r="J114">
        <v>0.44</v>
      </c>
      <c r="K114">
        <v>0.28999999999999998</v>
      </c>
      <c r="L114">
        <v>0.3</v>
      </c>
      <c r="M114">
        <v>0.32</v>
      </c>
      <c r="N114">
        <v>0.4</v>
      </c>
      <c r="O114">
        <v>0.41</v>
      </c>
      <c r="P114">
        <v>0.44</v>
      </c>
      <c r="Q114">
        <v>0.4</v>
      </c>
      <c r="R114">
        <v>0.46</v>
      </c>
      <c r="S114">
        <v>0.34</v>
      </c>
    </row>
    <row r="115" spans="1:19" x14ac:dyDescent="0.3">
      <c r="A115">
        <v>1992</v>
      </c>
      <c r="B115">
        <v>0.47</v>
      </c>
      <c r="C115">
        <v>0.4</v>
      </c>
      <c r="D115">
        <v>0.48</v>
      </c>
      <c r="E115">
        <v>0.27</v>
      </c>
      <c r="F115">
        <v>0.31</v>
      </c>
      <c r="G115">
        <v>0.26</v>
      </c>
      <c r="H115">
        <v>0.08</v>
      </c>
      <c r="I115">
        <v>0.08</v>
      </c>
      <c r="J115">
        <v>-0.01</v>
      </c>
      <c r="K115">
        <v>0.06</v>
      </c>
      <c r="L115">
        <v>0.03</v>
      </c>
      <c r="M115">
        <v>0.22</v>
      </c>
      <c r="N115">
        <v>0.22</v>
      </c>
      <c r="O115">
        <v>0.23</v>
      </c>
      <c r="P115">
        <v>0.4</v>
      </c>
      <c r="Q115">
        <v>0.36</v>
      </c>
      <c r="R115">
        <v>0.14000000000000001</v>
      </c>
      <c r="S115">
        <v>0.03</v>
      </c>
    </row>
    <row r="116" spans="1:19" x14ac:dyDescent="0.3">
      <c r="A116">
        <v>1993</v>
      </c>
      <c r="B116">
        <v>0.34</v>
      </c>
      <c r="C116">
        <v>0.37</v>
      </c>
      <c r="D116">
        <v>0.36</v>
      </c>
      <c r="E116">
        <v>0.28000000000000003</v>
      </c>
      <c r="F116">
        <v>0.28000000000000003</v>
      </c>
      <c r="G116">
        <v>0.23</v>
      </c>
      <c r="H116">
        <v>0.25</v>
      </c>
      <c r="I116">
        <v>0.11</v>
      </c>
      <c r="J116">
        <v>0.12</v>
      </c>
      <c r="K116">
        <v>0.23</v>
      </c>
      <c r="L116">
        <v>0.03</v>
      </c>
      <c r="M116">
        <v>0.18</v>
      </c>
      <c r="N116">
        <v>0.23</v>
      </c>
      <c r="O116">
        <v>0.23</v>
      </c>
      <c r="P116">
        <v>0.31</v>
      </c>
      <c r="Q116">
        <v>0.31</v>
      </c>
      <c r="R116">
        <v>0.2</v>
      </c>
      <c r="S116">
        <v>0.13</v>
      </c>
    </row>
    <row r="117" spans="1:19" x14ac:dyDescent="0.3">
      <c r="A117">
        <v>1994</v>
      </c>
      <c r="B117">
        <v>0.26</v>
      </c>
      <c r="C117">
        <v>0.03</v>
      </c>
      <c r="D117">
        <v>0.28999999999999998</v>
      </c>
      <c r="E117">
        <v>0.41</v>
      </c>
      <c r="F117">
        <v>0.28000000000000003</v>
      </c>
      <c r="G117">
        <v>0.44</v>
      </c>
      <c r="H117">
        <v>0.3</v>
      </c>
      <c r="I117">
        <v>0.21</v>
      </c>
      <c r="J117">
        <v>0.32</v>
      </c>
      <c r="K117">
        <v>0.42</v>
      </c>
      <c r="L117">
        <v>0.44</v>
      </c>
      <c r="M117">
        <v>0.38</v>
      </c>
      <c r="N117">
        <v>0.32</v>
      </c>
      <c r="O117">
        <v>0.3</v>
      </c>
      <c r="P117">
        <v>0.16</v>
      </c>
      <c r="Q117">
        <v>0.33</v>
      </c>
      <c r="R117">
        <v>0.32</v>
      </c>
      <c r="S117">
        <v>0.39</v>
      </c>
    </row>
    <row r="118" spans="1:19" x14ac:dyDescent="0.3">
      <c r="A118">
        <v>1995</v>
      </c>
      <c r="B118">
        <v>0.52</v>
      </c>
      <c r="C118">
        <v>0.79</v>
      </c>
      <c r="D118">
        <v>0.47</v>
      </c>
      <c r="E118">
        <v>0.47</v>
      </c>
      <c r="F118">
        <v>0.27</v>
      </c>
      <c r="G118">
        <v>0.43</v>
      </c>
      <c r="H118">
        <v>0.45</v>
      </c>
      <c r="I118">
        <v>0.45</v>
      </c>
      <c r="J118">
        <v>0.34</v>
      </c>
      <c r="K118">
        <v>0.47</v>
      </c>
      <c r="L118">
        <v>0.44</v>
      </c>
      <c r="M118">
        <v>0.26</v>
      </c>
      <c r="N118">
        <v>0.45</v>
      </c>
      <c r="O118">
        <v>0.46</v>
      </c>
      <c r="P118">
        <v>0.56000000000000005</v>
      </c>
      <c r="Q118">
        <v>0.4</v>
      </c>
      <c r="R118">
        <v>0.44</v>
      </c>
      <c r="S118">
        <v>0.42</v>
      </c>
    </row>
    <row r="119" spans="1:19" x14ac:dyDescent="0.3">
      <c r="A119">
        <v>1996</v>
      </c>
      <c r="B119">
        <v>0.24</v>
      </c>
      <c r="C119">
        <v>0.46</v>
      </c>
      <c r="D119">
        <v>0.33</v>
      </c>
      <c r="E119">
        <v>0.33</v>
      </c>
      <c r="F119">
        <v>0.27</v>
      </c>
      <c r="G119">
        <v>0.28999999999999998</v>
      </c>
      <c r="H119">
        <v>0.37</v>
      </c>
      <c r="I119">
        <v>0.48</v>
      </c>
      <c r="J119">
        <v>0.25</v>
      </c>
      <c r="K119">
        <v>0.2</v>
      </c>
      <c r="L119">
        <v>0.38</v>
      </c>
      <c r="M119">
        <v>0.37</v>
      </c>
      <c r="N119">
        <v>0.33</v>
      </c>
      <c r="O119">
        <v>0.32</v>
      </c>
      <c r="P119">
        <v>0.32</v>
      </c>
      <c r="Q119">
        <v>0.31</v>
      </c>
      <c r="R119">
        <v>0.38</v>
      </c>
      <c r="S119">
        <v>0.28000000000000003</v>
      </c>
    </row>
    <row r="120" spans="1:19" x14ac:dyDescent="0.3">
      <c r="A120">
        <v>1997</v>
      </c>
      <c r="B120">
        <v>0.31</v>
      </c>
      <c r="C120">
        <v>0.41</v>
      </c>
      <c r="D120">
        <v>0.52</v>
      </c>
      <c r="E120">
        <v>0.33</v>
      </c>
      <c r="F120">
        <v>0.34</v>
      </c>
      <c r="G120">
        <v>0.54</v>
      </c>
      <c r="H120">
        <v>0.34</v>
      </c>
      <c r="I120">
        <v>0.41</v>
      </c>
      <c r="J120">
        <v>0.52</v>
      </c>
      <c r="K120">
        <v>0.61</v>
      </c>
      <c r="L120">
        <v>0.64</v>
      </c>
      <c r="M120">
        <v>0.59</v>
      </c>
      <c r="N120">
        <v>0.46</v>
      </c>
      <c r="O120">
        <v>0.44</v>
      </c>
      <c r="P120">
        <v>0.36</v>
      </c>
      <c r="Q120">
        <v>0.4</v>
      </c>
      <c r="R120">
        <v>0.43</v>
      </c>
      <c r="S120">
        <v>0.59</v>
      </c>
    </row>
    <row r="121" spans="1:19" x14ac:dyDescent="0.3">
      <c r="A121">
        <v>1998</v>
      </c>
      <c r="B121">
        <v>0.57999999999999996</v>
      </c>
      <c r="C121">
        <v>0.88</v>
      </c>
      <c r="D121">
        <v>0.63</v>
      </c>
      <c r="E121">
        <v>0.63</v>
      </c>
      <c r="F121">
        <v>0.68</v>
      </c>
      <c r="G121">
        <v>0.77</v>
      </c>
      <c r="H121">
        <v>0.65</v>
      </c>
      <c r="I121">
        <v>0.65</v>
      </c>
      <c r="J121">
        <v>0.42</v>
      </c>
      <c r="K121">
        <v>0.41</v>
      </c>
      <c r="L121">
        <v>0.43</v>
      </c>
      <c r="M121">
        <v>0.55000000000000004</v>
      </c>
      <c r="N121">
        <v>0.61</v>
      </c>
      <c r="O121">
        <v>0.61</v>
      </c>
      <c r="P121">
        <v>0.68</v>
      </c>
      <c r="Q121">
        <v>0.65</v>
      </c>
      <c r="R121">
        <v>0.69</v>
      </c>
      <c r="S121">
        <v>0.42</v>
      </c>
    </row>
    <row r="122" spans="1:19" x14ac:dyDescent="0.3">
      <c r="A122">
        <v>1999</v>
      </c>
      <c r="B122">
        <v>0.48</v>
      </c>
      <c r="C122">
        <v>0.64</v>
      </c>
      <c r="D122">
        <v>0.32</v>
      </c>
      <c r="E122">
        <v>0.32</v>
      </c>
      <c r="F122">
        <v>0.26</v>
      </c>
      <c r="G122">
        <v>0.36</v>
      </c>
      <c r="H122">
        <v>0.38</v>
      </c>
      <c r="I122">
        <v>0.31</v>
      </c>
      <c r="J122">
        <v>0.39</v>
      </c>
      <c r="K122">
        <v>0.34</v>
      </c>
      <c r="L122">
        <v>0.37</v>
      </c>
      <c r="M122">
        <v>0.41</v>
      </c>
      <c r="N122">
        <v>0.38</v>
      </c>
      <c r="O122">
        <v>0.39</v>
      </c>
      <c r="P122">
        <v>0.56000000000000005</v>
      </c>
      <c r="Q122">
        <v>0.3</v>
      </c>
      <c r="R122">
        <v>0.35</v>
      </c>
      <c r="S122">
        <v>0.36</v>
      </c>
    </row>
    <row r="123" spans="1:19" x14ac:dyDescent="0.3">
      <c r="A123">
        <v>2000</v>
      </c>
      <c r="B123">
        <v>0.25</v>
      </c>
      <c r="C123">
        <v>0.56000000000000005</v>
      </c>
      <c r="D123">
        <v>0.55000000000000004</v>
      </c>
      <c r="E123">
        <v>0.56999999999999995</v>
      </c>
      <c r="F123">
        <v>0.36</v>
      </c>
      <c r="G123">
        <v>0.4</v>
      </c>
      <c r="H123">
        <v>0.39</v>
      </c>
      <c r="I123">
        <v>0.42</v>
      </c>
      <c r="J123">
        <v>0.39</v>
      </c>
      <c r="K123">
        <v>0.26</v>
      </c>
      <c r="L123">
        <v>0.3</v>
      </c>
      <c r="M123">
        <v>0.28000000000000003</v>
      </c>
      <c r="N123">
        <v>0.39</v>
      </c>
      <c r="O123">
        <v>0.4</v>
      </c>
      <c r="P123">
        <v>0.41</v>
      </c>
      <c r="Q123">
        <v>0.49</v>
      </c>
      <c r="R123">
        <v>0.4</v>
      </c>
      <c r="S123">
        <v>0.32</v>
      </c>
    </row>
    <row r="124" spans="1:19" x14ac:dyDescent="0.3">
      <c r="A124">
        <v>2001</v>
      </c>
      <c r="B124">
        <v>0.45</v>
      </c>
      <c r="C124">
        <v>0.44</v>
      </c>
      <c r="D124">
        <v>0.55000000000000004</v>
      </c>
      <c r="E124">
        <v>0.5</v>
      </c>
      <c r="F124">
        <v>0.57999999999999996</v>
      </c>
      <c r="G124">
        <v>0.52</v>
      </c>
      <c r="H124">
        <v>0.59</v>
      </c>
      <c r="I124">
        <v>0.49</v>
      </c>
      <c r="J124">
        <v>0.52</v>
      </c>
      <c r="K124">
        <v>0.5</v>
      </c>
      <c r="L124">
        <v>0.72</v>
      </c>
      <c r="M124">
        <v>0.56000000000000005</v>
      </c>
      <c r="N124">
        <v>0.53</v>
      </c>
      <c r="O124">
        <v>0.51</v>
      </c>
      <c r="P124">
        <v>0.39</v>
      </c>
      <c r="Q124">
        <v>0.54</v>
      </c>
      <c r="R124">
        <v>0.53</v>
      </c>
      <c r="S124">
        <v>0.57999999999999996</v>
      </c>
    </row>
    <row r="125" spans="1:19" x14ac:dyDescent="0.3">
      <c r="A125">
        <v>2002</v>
      </c>
      <c r="B125">
        <v>0.77</v>
      </c>
      <c r="C125">
        <v>0.78</v>
      </c>
      <c r="D125">
        <v>0.88</v>
      </c>
      <c r="E125">
        <v>0.57999999999999996</v>
      </c>
      <c r="F125">
        <v>0.64</v>
      </c>
      <c r="G125">
        <v>0.53</v>
      </c>
      <c r="H125">
        <v>0.61</v>
      </c>
      <c r="I125">
        <v>0.53</v>
      </c>
      <c r="J125">
        <v>0.63</v>
      </c>
      <c r="K125">
        <v>0.54</v>
      </c>
      <c r="L125">
        <v>0.59</v>
      </c>
      <c r="M125">
        <v>0.44</v>
      </c>
      <c r="N125">
        <v>0.63</v>
      </c>
      <c r="O125">
        <v>0.64</v>
      </c>
      <c r="P125">
        <v>0.7</v>
      </c>
      <c r="Q125">
        <v>0.7</v>
      </c>
      <c r="R125">
        <v>0.56000000000000005</v>
      </c>
      <c r="S125">
        <v>0.57999999999999996</v>
      </c>
    </row>
    <row r="126" spans="1:19" x14ac:dyDescent="0.3">
      <c r="A126">
        <v>2003</v>
      </c>
      <c r="B126">
        <v>0.75</v>
      </c>
      <c r="C126">
        <v>0.57999999999999996</v>
      </c>
      <c r="D126">
        <v>0.6</v>
      </c>
      <c r="E126">
        <v>0.55000000000000004</v>
      </c>
      <c r="F126">
        <v>0.61</v>
      </c>
      <c r="G126">
        <v>0.48</v>
      </c>
      <c r="H126">
        <v>0.57999999999999996</v>
      </c>
      <c r="I126">
        <v>0.64</v>
      </c>
      <c r="J126">
        <v>0.62</v>
      </c>
      <c r="K126">
        <v>0.72</v>
      </c>
      <c r="L126">
        <v>0.53</v>
      </c>
      <c r="M126">
        <v>0.75</v>
      </c>
      <c r="N126">
        <v>0.62</v>
      </c>
      <c r="O126">
        <v>0.59</v>
      </c>
      <c r="P126">
        <v>0.59</v>
      </c>
      <c r="Q126">
        <v>0.57999999999999996</v>
      </c>
      <c r="R126">
        <v>0.56999999999999995</v>
      </c>
      <c r="S126">
        <v>0.62</v>
      </c>
    </row>
    <row r="127" spans="1:19" x14ac:dyDescent="0.3">
      <c r="A127">
        <v>2004</v>
      </c>
      <c r="B127">
        <v>0.57999999999999996</v>
      </c>
      <c r="C127">
        <v>0.72</v>
      </c>
      <c r="D127">
        <v>0.63</v>
      </c>
      <c r="E127">
        <v>0.61</v>
      </c>
      <c r="F127">
        <v>0.37</v>
      </c>
      <c r="G127">
        <v>0.44</v>
      </c>
      <c r="H127">
        <v>0.26</v>
      </c>
      <c r="I127">
        <v>0.45</v>
      </c>
      <c r="J127">
        <v>0.5</v>
      </c>
      <c r="K127">
        <v>0.6</v>
      </c>
      <c r="L127">
        <v>0.72</v>
      </c>
      <c r="M127">
        <v>0.51</v>
      </c>
      <c r="N127">
        <v>0.53</v>
      </c>
      <c r="O127">
        <v>0.55000000000000004</v>
      </c>
      <c r="P127">
        <v>0.69</v>
      </c>
      <c r="Q127">
        <v>0.54</v>
      </c>
      <c r="R127">
        <v>0.38</v>
      </c>
      <c r="S127">
        <v>0.61</v>
      </c>
    </row>
    <row r="128" spans="1:19" x14ac:dyDescent="0.3">
      <c r="A128">
        <v>2005</v>
      </c>
      <c r="B128">
        <v>0.74</v>
      </c>
      <c r="C128">
        <v>0.6</v>
      </c>
      <c r="D128">
        <v>0.74</v>
      </c>
      <c r="E128">
        <v>0.67</v>
      </c>
      <c r="F128">
        <v>0.63</v>
      </c>
      <c r="G128">
        <v>0.65</v>
      </c>
      <c r="H128">
        <v>0.61</v>
      </c>
      <c r="I128">
        <v>0.6</v>
      </c>
      <c r="J128">
        <v>0.71</v>
      </c>
      <c r="K128">
        <v>0.75</v>
      </c>
      <c r="L128">
        <v>0.74</v>
      </c>
      <c r="M128">
        <v>0.68</v>
      </c>
      <c r="N128">
        <v>0.68</v>
      </c>
      <c r="O128">
        <v>0.66</v>
      </c>
      <c r="P128">
        <v>0.61</v>
      </c>
      <c r="Q128">
        <v>0.68</v>
      </c>
      <c r="R128">
        <v>0.62</v>
      </c>
      <c r="S128">
        <v>0.73</v>
      </c>
    </row>
    <row r="129" spans="1:19" x14ac:dyDescent="0.3">
      <c r="A129">
        <v>2006</v>
      </c>
      <c r="B129">
        <v>0.56000000000000005</v>
      </c>
      <c r="C129">
        <v>0.73</v>
      </c>
      <c r="D129">
        <v>0.63</v>
      </c>
      <c r="E129">
        <v>0.47</v>
      </c>
      <c r="F129">
        <v>0.48</v>
      </c>
      <c r="G129">
        <v>0.66</v>
      </c>
      <c r="H129">
        <v>0.54</v>
      </c>
      <c r="I129">
        <v>0.71</v>
      </c>
      <c r="J129">
        <v>0.65</v>
      </c>
      <c r="K129">
        <v>0.69</v>
      </c>
      <c r="L129">
        <v>0.74</v>
      </c>
      <c r="M129">
        <v>0.79</v>
      </c>
      <c r="N129">
        <v>0.64</v>
      </c>
      <c r="O129">
        <v>0.63</v>
      </c>
      <c r="P129">
        <v>0.66</v>
      </c>
      <c r="Q129">
        <v>0.52</v>
      </c>
      <c r="R129">
        <v>0.63</v>
      </c>
      <c r="S129">
        <v>0.69</v>
      </c>
    </row>
    <row r="130" spans="1:19" x14ac:dyDescent="0.3">
      <c r="A130">
        <v>2007</v>
      </c>
      <c r="B130">
        <v>1.02</v>
      </c>
      <c r="C130">
        <v>0.7</v>
      </c>
      <c r="D130">
        <v>0.73</v>
      </c>
      <c r="E130">
        <v>0.76</v>
      </c>
      <c r="F130">
        <v>0.69</v>
      </c>
      <c r="G130">
        <v>0.61</v>
      </c>
      <c r="H130">
        <v>0.6</v>
      </c>
      <c r="I130">
        <v>0.6</v>
      </c>
      <c r="J130">
        <v>0.6</v>
      </c>
      <c r="K130">
        <v>0.57999999999999996</v>
      </c>
      <c r="L130">
        <v>0.59</v>
      </c>
      <c r="M130">
        <v>0.49</v>
      </c>
      <c r="N130">
        <v>0.66</v>
      </c>
      <c r="O130">
        <v>0.69</v>
      </c>
      <c r="P130">
        <v>0.84</v>
      </c>
      <c r="Q130">
        <v>0.73</v>
      </c>
      <c r="R130">
        <v>0.6</v>
      </c>
      <c r="S130">
        <v>0.59</v>
      </c>
    </row>
    <row r="131" spans="1:19" x14ac:dyDescent="0.3">
      <c r="A131">
        <v>2008</v>
      </c>
      <c r="B131">
        <v>0.3</v>
      </c>
      <c r="C131">
        <v>0.38</v>
      </c>
      <c r="D131">
        <v>0.74</v>
      </c>
      <c r="E131">
        <v>0.53</v>
      </c>
      <c r="F131">
        <v>0.49</v>
      </c>
      <c r="G131">
        <v>0.49</v>
      </c>
      <c r="H131">
        <v>0.6</v>
      </c>
      <c r="I131">
        <v>0.46</v>
      </c>
      <c r="J131">
        <v>0.61</v>
      </c>
      <c r="K131">
        <v>0.67</v>
      </c>
      <c r="L131">
        <v>0.68</v>
      </c>
      <c r="M131">
        <v>0.54</v>
      </c>
      <c r="N131">
        <v>0.54</v>
      </c>
      <c r="O131">
        <v>0.54</v>
      </c>
      <c r="P131">
        <v>0.39</v>
      </c>
      <c r="Q131">
        <v>0.59</v>
      </c>
      <c r="R131">
        <v>0.51</v>
      </c>
      <c r="S131">
        <v>0.65</v>
      </c>
    </row>
    <row r="132" spans="1:19" x14ac:dyDescent="0.3">
      <c r="A132">
        <v>2009</v>
      </c>
      <c r="B132">
        <v>0.64</v>
      </c>
      <c r="C132">
        <v>0.53</v>
      </c>
      <c r="D132">
        <v>0.54</v>
      </c>
      <c r="E132">
        <v>0.61</v>
      </c>
      <c r="F132">
        <v>0.65</v>
      </c>
      <c r="G132">
        <v>0.64</v>
      </c>
      <c r="H132">
        <v>0.73</v>
      </c>
      <c r="I132">
        <v>0.68</v>
      </c>
      <c r="J132">
        <v>0.72</v>
      </c>
      <c r="K132">
        <v>0.65</v>
      </c>
      <c r="L132">
        <v>0.79</v>
      </c>
      <c r="M132">
        <v>0.67</v>
      </c>
      <c r="N132">
        <v>0.65</v>
      </c>
      <c r="O132">
        <v>0.64</v>
      </c>
      <c r="P132">
        <v>0.56999999999999995</v>
      </c>
      <c r="Q132">
        <v>0.6</v>
      </c>
      <c r="R132">
        <v>0.69</v>
      </c>
      <c r="S132">
        <v>0.72</v>
      </c>
    </row>
    <row r="133" spans="1:19" x14ac:dyDescent="0.3">
      <c r="A133">
        <v>2010</v>
      </c>
      <c r="B133">
        <v>0.75</v>
      </c>
      <c r="C133">
        <v>0.83</v>
      </c>
      <c r="D133">
        <v>0.92</v>
      </c>
      <c r="E133">
        <v>0.84</v>
      </c>
      <c r="F133">
        <v>0.75</v>
      </c>
      <c r="G133">
        <v>0.68</v>
      </c>
      <c r="H133">
        <v>0.62</v>
      </c>
      <c r="I133">
        <v>0.67</v>
      </c>
      <c r="J133">
        <v>0.63</v>
      </c>
      <c r="K133">
        <v>0.7</v>
      </c>
      <c r="L133">
        <v>0.81</v>
      </c>
      <c r="M133">
        <v>0.45</v>
      </c>
      <c r="N133">
        <v>0.72</v>
      </c>
      <c r="O133">
        <v>0.74</v>
      </c>
      <c r="P133">
        <v>0.75</v>
      </c>
      <c r="Q133">
        <v>0.84</v>
      </c>
      <c r="R133">
        <v>0.66</v>
      </c>
      <c r="S133">
        <v>0.72</v>
      </c>
    </row>
    <row r="134" spans="1:19" x14ac:dyDescent="0.3">
      <c r="A134">
        <v>2011</v>
      </c>
      <c r="B134">
        <v>0.52</v>
      </c>
      <c r="C134">
        <v>0.48</v>
      </c>
      <c r="D134">
        <v>0.65</v>
      </c>
      <c r="E134">
        <v>0.65</v>
      </c>
      <c r="F134">
        <v>0.53</v>
      </c>
      <c r="G134">
        <v>0.62</v>
      </c>
      <c r="H134">
        <v>0.7</v>
      </c>
      <c r="I134">
        <v>0.74</v>
      </c>
      <c r="J134">
        <v>0.56000000000000005</v>
      </c>
      <c r="K134">
        <v>0.66</v>
      </c>
      <c r="L134">
        <v>0.59</v>
      </c>
      <c r="M134">
        <v>0.61</v>
      </c>
      <c r="N134">
        <v>0.61</v>
      </c>
      <c r="O134">
        <v>0.6</v>
      </c>
      <c r="P134">
        <v>0.48</v>
      </c>
      <c r="Q134">
        <v>0.61</v>
      </c>
      <c r="R134">
        <v>0.69</v>
      </c>
      <c r="S134">
        <v>0.6</v>
      </c>
    </row>
    <row r="135" spans="1:19" x14ac:dyDescent="0.3">
      <c r="A135">
        <v>2012</v>
      </c>
      <c r="B135">
        <v>0.49</v>
      </c>
      <c r="C135">
        <v>0.49</v>
      </c>
      <c r="D135">
        <v>0.57999999999999996</v>
      </c>
      <c r="E135">
        <v>0.72</v>
      </c>
      <c r="F135">
        <v>0.78</v>
      </c>
      <c r="G135">
        <v>0.64</v>
      </c>
      <c r="H135">
        <v>0.57999999999999996</v>
      </c>
      <c r="I135">
        <v>0.65</v>
      </c>
      <c r="J135">
        <v>0.72</v>
      </c>
      <c r="K135">
        <v>0.79</v>
      </c>
      <c r="L135">
        <v>0.78</v>
      </c>
      <c r="M135">
        <v>0.53</v>
      </c>
      <c r="N135">
        <v>0.65</v>
      </c>
      <c r="O135">
        <v>0.65</v>
      </c>
      <c r="P135">
        <v>0.53</v>
      </c>
      <c r="Q135">
        <v>0.69</v>
      </c>
      <c r="R135">
        <v>0.62</v>
      </c>
      <c r="S135">
        <v>0.77</v>
      </c>
    </row>
    <row r="136" spans="1:19" x14ac:dyDescent="0.3">
      <c r="A136">
        <v>2013</v>
      </c>
      <c r="B136">
        <v>0.71</v>
      </c>
      <c r="C136">
        <v>0.62</v>
      </c>
      <c r="D136">
        <v>0.67</v>
      </c>
      <c r="E136">
        <v>0.54</v>
      </c>
      <c r="F136">
        <v>0.61</v>
      </c>
      <c r="G136">
        <v>0.69</v>
      </c>
      <c r="H136">
        <v>0.6</v>
      </c>
      <c r="I136">
        <v>0.69</v>
      </c>
      <c r="J136">
        <v>0.77</v>
      </c>
      <c r="K136">
        <v>0.69</v>
      </c>
      <c r="L136">
        <v>0.83</v>
      </c>
      <c r="M136">
        <v>0.7</v>
      </c>
      <c r="N136">
        <v>0.67</v>
      </c>
      <c r="O136">
        <v>0.66</v>
      </c>
      <c r="P136">
        <v>0.62</v>
      </c>
      <c r="Q136">
        <v>0.6</v>
      </c>
      <c r="R136">
        <v>0.66</v>
      </c>
      <c r="S136">
        <v>0.76</v>
      </c>
    </row>
    <row r="137" spans="1:19" x14ac:dyDescent="0.3">
      <c r="A137">
        <v>2014</v>
      </c>
      <c r="B137">
        <v>0.76</v>
      </c>
      <c r="C137">
        <v>0.55000000000000004</v>
      </c>
      <c r="D137">
        <v>0.78</v>
      </c>
      <c r="E137">
        <v>0.8</v>
      </c>
      <c r="F137">
        <v>0.86</v>
      </c>
      <c r="G137">
        <v>0.67</v>
      </c>
      <c r="H137">
        <v>0.57999999999999996</v>
      </c>
      <c r="I137">
        <v>0.82</v>
      </c>
      <c r="J137">
        <v>0.87</v>
      </c>
      <c r="K137">
        <v>0.8</v>
      </c>
      <c r="L137">
        <v>0.66</v>
      </c>
      <c r="M137">
        <v>0.78</v>
      </c>
      <c r="N137">
        <v>0.74</v>
      </c>
      <c r="O137">
        <v>0.74</v>
      </c>
      <c r="P137">
        <v>0.67</v>
      </c>
      <c r="Q137">
        <v>0.81</v>
      </c>
      <c r="R137">
        <v>0.69</v>
      </c>
      <c r="S137">
        <v>0.78</v>
      </c>
    </row>
    <row r="138" spans="1:19" x14ac:dyDescent="0.3">
      <c r="A138">
        <v>2015</v>
      </c>
      <c r="B138">
        <v>0.85</v>
      </c>
      <c r="C138">
        <v>0.9</v>
      </c>
      <c r="D138">
        <v>0.96</v>
      </c>
      <c r="E138">
        <v>0.76</v>
      </c>
      <c r="F138">
        <v>0.8</v>
      </c>
      <c r="G138">
        <v>0.8</v>
      </c>
      <c r="H138">
        <v>0.72</v>
      </c>
      <c r="I138">
        <v>0.8</v>
      </c>
      <c r="J138">
        <v>0.85</v>
      </c>
      <c r="K138">
        <v>1.0900000000000001</v>
      </c>
      <c r="L138">
        <v>1.06</v>
      </c>
      <c r="M138">
        <v>1.1599999999999999</v>
      </c>
      <c r="N138">
        <v>0.9</v>
      </c>
      <c r="O138">
        <v>0.86</v>
      </c>
      <c r="P138">
        <v>0.84</v>
      </c>
      <c r="Q138">
        <v>0.84</v>
      </c>
      <c r="R138">
        <v>0.78</v>
      </c>
      <c r="S138">
        <v>1</v>
      </c>
    </row>
    <row r="139" spans="1:19" x14ac:dyDescent="0.3">
      <c r="A139">
        <v>2016</v>
      </c>
      <c r="B139">
        <v>1.17</v>
      </c>
      <c r="C139">
        <v>1.37</v>
      </c>
      <c r="D139">
        <v>1.36</v>
      </c>
      <c r="E139">
        <v>1.1000000000000001</v>
      </c>
      <c r="F139">
        <v>0.95</v>
      </c>
      <c r="G139">
        <v>0.79</v>
      </c>
      <c r="H139">
        <v>0.84</v>
      </c>
      <c r="I139">
        <v>1.01</v>
      </c>
      <c r="J139">
        <v>0.9</v>
      </c>
      <c r="K139">
        <v>0.89</v>
      </c>
      <c r="L139">
        <v>0.92</v>
      </c>
      <c r="M139">
        <v>0.86</v>
      </c>
      <c r="N139">
        <v>1.01</v>
      </c>
      <c r="O139">
        <v>1.04</v>
      </c>
      <c r="P139">
        <v>1.23</v>
      </c>
      <c r="Q139">
        <v>1.1399999999999999</v>
      </c>
      <c r="R139">
        <v>0.88</v>
      </c>
      <c r="S139">
        <v>0.9</v>
      </c>
    </row>
    <row r="140" spans="1:19" x14ac:dyDescent="0.3">
      <c r="A140">
        <v>2017</v>
      </c>
      <c r="B140">
        <v>1.02</v>
      </c>
      <c r="C140">
        <v>1.1299999999999999</v>
      </c>
      <c r="D140">
        <v>1.1599999999999999</v>
      </c>
      <c r="E140">
        <v>0.94</v>
      </c>
      <c r="F140">
        <v>0.91</v>
      </c>
      <c r="G140">
        <v>0.71</v>
      </c>
      <c r="H140">
        <v>0.81</v>
      </c>
      <c r="I140">
        <v>0.87</v>
      </c>
      <c r="J140">
        <v>0.77</v>
      </c>
      <c r="K140">
        <v>0.9</v>
      </c>
      <c r="L140">
        <v>0.88</v>
      </c>
      <c r="M140">
        <v>0.93</v>
      </c>
      <c r="N140">
        <v>0.92</v>
      </c>
      <c r="O140">
        <v>0.91</v>
      </c>
      <c r="P140">
        <v>1.01</v>
      </c>
      <c r="Q140">
        <v>1</v>
      </c>
      <c r="R140">
        <v>0.8</v>
      </c>
      <c r="S140">
        <v>0.85</v>
      </c>
    </row>
    <row r="141" spans="1:19" x14ac:dyDescent="0.3">
      <c r="A141">
        <v>2018</v>
      </c>
      <c r="B141">
        <v>0.82</v>
      </c>
      <c r="C141">
        <v>0.85</v>
      </c>
      <c r="D141">
        <v>0.88</v>
      </c>
      <c r="E141">
        <v>0.89</v>
      </c>
      <c r="F141">
        <v>0.82</v>
      </c>
      <c r="G141">
        <v>0.77</v>
      </c>
      <c r="H141">
        <v>0.82</v>
      </c>
      <c r="I141">
        <v>0.76</v>
      </c>
      <c r="J141">
        <v>0.8</v>
      </c>
      <c r="K141">
        <v>1.02</v>
      </c>
      <c r="L141">
        <v>0.82</v>
      </c>
      <c r="M141">
        <v>0.91</v>
      </c>
      <c r="N141">
        <v>0.85</v>
      </c>
      <c r="O141">
        <v>0.85</v>
      </c>
      <c r="P141">
        <v>0.86</v>
      </c>
      <c r="Q141">
        <v>0.86</v>
      </c>
      <c r="R141">
        <v>0.78</v>
      </c>
      <c r="S141">
        <v>0.88</v>
      </c>
    </row>
    <row r="142" spans="1:19" x14ac:dyDescent="0.3">
      <c r="A142">
        <v>2019</v>
      </c>
      <c r="B142">
        <v>0.93</v>
      </c>
      <c r="C142">
        <v>0.95</v>
      </c>
      <c r="D142">
        <v>1.17</v>
      </c>
      <c r="E142">
        <v>1.01</v>
      </c>
      <c r="F142">
        <v>0.85</v>
      </c>
      <c r="G142">
        <v>0.9</v>
      </c>
      <c r="H142">
        <v>0.94</v>
      </c>
      <c r="I142">
        <v>0.95</v>
      </c>
      <c r="J142">
        <v>0.93</v>
      </c>
      <c r="K142">
        <v>1.01</v>
      </c>
      <c r="L142">
        <v>0.99</v>
      </c>
      <c r="M142">
        <v>1.0900000000000001</v>
      </c>
      <c r="N142">
        <v>0.98</v>
      </c>
      <c r="O142">
        <v>0.96</v>
      </c>
      <c r="P142">
        <v>0.93</v>
      </c>
      <c r="Q142">
        <v>1.01</v>
      </c>
      <c r="R142">
        <v>0.93</v>
      </c>
      <c r="S142">
        <v>0.98</v>
      </c>
    </row>
    <row r="143" spans="1:19" x14ac:dyDescent="0.3">
      <c r="A143">
        <v>2020</v>
      </c>
      <c r="B143">
        <v>1.17</v>
      </c>
      <c r="C143">
        <v>1.24</v>
      </c>
      <c r="D143">
        <v>1.17</v>
      </c>
      <c r="E143">
        <v>1.1299999999999999</v>
      </c>
      <c r="F143">
        <v>1.01</v>
      </c>
      <c r="G143">
        <v>0.91</v>
      </c>
      <c r="H143">
        <v>0.9</v>
      </c>
      <c r="I143">
        <v>0.87</v>
      </c>
      <c r="J143">
        <v>0.98</v>
      </c>
      <c r="K143">
        <v>0.88</v>
      </c>
      <c r="L143">
        <v>1.1000000000000001</v>
      </c>
      <c r="M143">
        <v>0.81</v>
      </c>
      <c r="N143">
        <v>1.01</v>
      </c>
      <c r="O143">
        <v>1.04</v>
      </c>
      <c r="P143">
        <v>1.17</v>
      </c>
      <c r="Q143">
        <v>1.1000000000000001</v>
      </c>
      <c r="R143">
        <v>0.89</v>
      </c>
      <c r="S143">
        <v>0.99</v>
      </c>
    </row>
    <row r="144" spans="1:19" x14ac:dyDescent="0.3">
      <c r="A144">
        <v>2021</v>
      </c>
      <c r="B144">
        <v>0.81</v>
      </c>
      <c r="C144">
        <v>0.64</v>
      </c>
      <c r="D144">
        <v>0.88</v>
      </c>
      <c r="E144">
        <v>0.75</v>
      </c>
      <c r="F144">
        <v>0.78</v>
      </c>
      <c r="G144">
        <v>0.84</v>
      </c>
      <c r="H144">
        <v>0.91</v>
      </c>
      <c r="I144">
        <v>0.81</v>
      </c>
      <c r="J144">
        <v>0.92</v>
      </c>
      <c r="K144">
        <v>1</v>
      </c>
      <c r="L144">
        <v>0.93</v>
      </c>
      <c r="M144">
        <v>0.85</v>
      </c>
      <c r="N144">
        <v>0.84</v>
      </c>
      <c r="O144">
        <v>0.84</v>
      </c>
      <c r="P144">
        <v>0.75</v>
      </c>
      <c r="Q144">
        <v>0.81</v>
      </c>
      <c r="R144">
        <v>0.86</v>
      </c>
      <c r="S144">
        <v>0.95</v>
      </c>
    </row>
    <row r="145" spans="1:19" x14ac:dyDescent="0.3">
      <c r="A145">
        <v>2022</v>
      </c>
      <c r="B145">
        <v>0.91</v>
      </c>
      <c r="C145">
        <v>0.89</v>
      </c>
      <c r="D145">
        <v>1.05</v>
      </c>
      <c r="E145">
        <v>0.83</v>
      </c>
      <c r="F145">
        <v>0.84</v>
      </c>
      <c r="G145">
        <v>0.92</v>
      </c>
      <c r="H145">
        <v>0.93</v>
      </c>
      <c r="I145">
        <v>0.95</v>
      </c>
      <c r="J145">
        <v>0.89</v>
      </c>
      <c r="K145">
        <v>0.97</v>
      </c>
      <c r="L145">
        <v>0.72</v>
      </c>
      <c r="M145">
        <v>0.79</v>
      </c>
      <c r="N145">
        <v>0.89</v>
      </c>
      <c r="O145">
        <v>0.9</v>
      </c>
      <c r="P145">
        <v>0.88</v>
      </c>
      <c r="Q145">
        <v>0.91</v>
      </c>
      <c r="R145">
        <v>0.93</v>
      </c>
      <c r="S145">
        <v>0.86</v>
      </c>
    </row>
    <row r="146" spans="1:19" x14ac:dyDescent="0.3">
      <c r="A146">
        <v>2023</v>
      </c>
      <c r="B146">
        <v>0.86</v>
      </c>
      <c r="C146">
        <v>0.97</v>
      </c>
      <c r="D146">
        <v>1.2</v>
      </c>
      <c r="E146">
        <v>1</v>
      </c>
      <c r="F146">
        <v>0.93</v>
      </c>
      <c r="G146">
        <v>1.07</v>
      </c>
      <c r="H146" t="s">
        <v>20</v>
      </c>
      <c r="I146" t="s">
        <v>20</v>
      </c>
      <c r="J146" t="s">
        <v>20</v>
      </c>
      <c r="K146" t="s">
        <v>20</v>
      </c>
      <c r="L146" t="s">
        <v>20</v>
      </c>
      <c r="M146" t="s">
        <v>20</v>
      </c>
      <c r="N146" t="s">
        <v>20</v>
      </c>
      <c r="O146" t="s">
        <v>20</v>
      </c>
      <c r="P146">
        <v>0.88</v>
      </c>
      <c r="Q146">
        <v>1.04</v>
      </c>
      <c r="R146" t="s">
        <v>20</v>
      </c>
      <c r="S146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Questions</vt:lpstr>
      <vt:lpstr>GlobalTempLinear</vt:lpstr>
      <vt:lpstr>GlobalTempLinearSol</vt:lpstr>
      <vt:lpstr>GlobalTempQuad</vt:lpstr>
      <vt:lpstr>GlobalTempQuadSol</vt:lpstr>
      <vt:lpstr>OriginalWebsiteReference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Bishop</dc:creator>
  <cp:lastModifiedBy>Administrator</cp:lastModifiedBy>
  <dcterms:created xsi:type="dcterms:W3CDTF">2023-07-17T13:18:54Z</dcterms:created>
  <dcterms:modified xsi:type="dcterms:W3CDTF">2023-07-18T14:25:20Z</dcterms:modified>
</cp:coreProperties>
</file>