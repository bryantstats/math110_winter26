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Jim_Math110\"/>
    </mc:Choice>
  </mc:AlternateContent>
  <xr:revisionPtr revIDLastSave="0" documentId="13_ncr:1_{4B3E1722-90F6-45E9-A8DC-414EBEE4836D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LP_class" sheetId="1" r:id="rId1"/>
    <sheet name="LP_HW" sheetId="2" r:id="rId2"/>
    <sheet name="Sheet1" sheetId="3" r:id="rId3"/>
    <sheet name="Sheet2" sheetId="4" r:id="rId4"/>
  </sheets>
  <definedNames>
    <definedName name="solver_adj" localSheetId="0" hidden="1">LP_class!$C$5:$D$5</definedName>
    <definedName name="solver_adj" localSheetId="1" hidden="1">LP_HW!$C$5:$D$5</definedName>
    <definedName name="solver_adj" localSheetId="2" hidden="1">Sheet1!$C$5:$D$5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2</definedName>
    <definedName name="solver_drv" localSheetId="1" hidden="1">2</definedName>
    <definedName name="solver_drv" localSheetId="2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LP_class!$C$5:$D$5</definedName>
    <definedName name="solver_lhs1" localSheetId="1" hidden="1">LP_HW!$E$7</definedName>
    <definedName name="solver_lhs1" localSheetId="2" hidden="1">Sheet1!$F$7:$F$8</definedName>
    <definedName name="solver_lhs2" localSheetId="0" hidden="1">LP_class!$E$7</definedName>
    <definedName name="solver_lhs2" localSheetId="1" hidden="1">LP_HW!$E$8</definedName>
    <definedName name="solver_lhs3" localSheetId="0" hidden="1">LP_class!$E$8</definedName>
    <definedName name="solver_lhs3" localSheetId="1" hidden="1">LP_HW!$E$31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2</definedName>
    <definedName name="solver_num" localSheetId="2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LP_class!$F$4</definedName>
    <definedName name="solver_opt" localSheetId="1" hidden="1">LP_HW!$F$4</definedName>
    <definedName name="solver_opt" localSheetId="2" hidden="1">Sheet1!$G$4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2</definedName>
    <definedName name="solver_rbv" localSheetId="2" hidden="1">2</definedName>
    <definedName name="solver_rel1" localSheetId="0" hidden="1">4</definedName>
    <definedName name="solver_rel1" localSheetId="1" hidden="1">1</definedName>
    <definedName name="solver_rel1" localSheetId="2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hs1" localSheetId="0" hidden="1">"integer"</definedName>
    <definedName name="solver_rhs1" localSheetId="1" hidden="1">LP_HW!$F$7</definedName>
    <definedName name="solver_rhs1" localSheetId="2" hidden="1">Sheet1!$G$7:$G$8</definedName>
    <definedName name="solver_rhs2" localSheetId="0" hidden="1">LP_class!$F$7</definedName>
    <definedName name="solver_rhs2" localSheetId="1" hidden="1">LP_HW!$F$8</definedName>
    <definedName name="solver_rhs3" localSheetId="0" hidden="1">LP_class!$F$8</definedName>
    <definedName name="solver_rhs3" localSheetId="1" hidden="1">LP_HW!$F$31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F7" i="3"/>
  <c r="F8" i="3"/>
  <c r="G4" i="3" l="1"/>
  <c r="E31" i="2"/>
  <c r="E30" i="2"/>
  <c r="E29" i="2"/>
  <c r="F26" i="2"/>
  <c r="E19" i="2"/>
  <c r="E18" i="2"/>
  <c r="F15" i="2"/>
  <c r="E8" i="2"/>
  <c r="E7" i="2"/>
  <c r="F4" i="2"/>
  <c r="E31" i="1"/>
  <c r="E30" i="1"/>
  <c r="E29" i="1"/>
  <c r="F26" i="1"/>
  <c r="E19" i="1"/>
  <c r="E18" i="1"/>
  <c r="F15" i="1"/>
  <c r="E8" i="1"/>
  <c r="E7" i="1"/>
  <c r="F4" i="1"/>
</calcChain>
</file>

<file path=xl/sharedStrings.xml><?xml version="1.0" encoding="utf-8"?>
<sst xmlns="http://schemas.openxmlformats.org/spreadsheetml/2006/main" count="136" uniqueCount="53">
  <si>
    <t>Example #1</t>
  </si>
  <si>
    <t>x = # Quisp boxes</t>
  </si>
  <si>
    <t>y = # CC boxes</t>
  </si>
  <si>
    <t>Equations</t>
  </si>
  <si>
    <t>x</t>
  </si>
  <si>
    <t>y</t>
  </si>
  <si>
    <t>Max</t>
  </si>
  <si>
    <t>total boxes fit &lt; 100 on shelf</t>
  </si>
  <si>
    <t>Max 2x+4y</t>
  </si>
  <si>
    <t>objective function</t>
  </si>
  <si>
    <t>solution max value</t>
  </si>
  <si>
    <t>CC costs 8 times as much to get as quisp</t>
  </si>
  <si>
    <t>variable values</t>
  </si>
  <si>
    <t>profit is $2 for quisp and $4 for CC</t>
  </si>
  <si>
    <t>x + y &lt; 100</t>
  </si>
  <si>
    <t>Constraint equation 1</t>
  </si>
  <si>
    <t>less than equal 100</t>
  </si>
  <si>
    <t>x+8y &lt; 200</t>
  </si>
  <si>
    <t>Constraint equation 2</t>
  </si>
  <si>
    <t>less than equal 200</t>
  </si>
  <si>
    <t>slack is 50 for constraint 2 (200-150)</t>
  </si>
  <si>
    <t>Example #2 (you)</t>
  </si>
  <si>
    <t>2x + 2y &lt; 100</t>
  </si>
  <si>
    <t>less than equal 300</t>
  </si>
  <si>
    <t>4x+3y &lt; 200</t>
  </si>
  <si>
    <t>Example #3 (you)</t>
  </si>
  <si>
    <t>Max 5x+10y</t>
  </si>
  <si>
    <t>x + y &gt; 100</t>
  </si>
  <si>
    <t>Constraint equation</t>
  </si>
  <si>
    <t>greater than equal 100</t>
  </si>
  <si>
    <t>2x+2y &lt; 1000</t>
  </si>
  <si>
    <t>less than equal 1000</t>
  </si>
  <si>
    <t>x+2y &lt; 800</t>
  </si>
  <si>
    <t>less than equal 800</t>
  </si>
  <si>
    <t>x = # temp EE's</t>
  </si>
  <si>
    <t>y = # FT EE's</t>
  </si>
  <si>
    <t>total EE's fit &lt; 200 in office</t>
  </si>
  <si>
    <t>Max 3x+4y</t>
  </si>
  <si>
    <t>temp cost $12/hr, FT cost $20 per hour, not more than $3,000 total</t>
  </si>
  <si>
    <t>FT make $4 profit and temp make $3 profit</t>
  </si>
  <si>
    <t>x + y &lt; 200</t>
  </si>
  <si>
    <t>12x+20y &lt; 3000</t>
  </si>
  <si>
    <t>Explain:  we filled the office with 125 temps and 75 FT</t>
  </si>
  <si>
    <t>we make $675 per hour, it costs $3,000 per hour</t>
  </si>
  <si>
    <t>Max 2x+6y</t>
  </si>
  <si>
    <t>x + 2y &lt; 100</t>
  </si>
  <si>
    <t>10x+25y &lt; 4000</t>
  </si>
  <si>
    <t>z</t>
  </si>
  <si>
    <t>Objective</t>
  </si>
  <si>
    <t>Constrain 1</t>
  </si>
  <si>
    <t>Constrain 2</t>
  </si>
  <si>
    <t>Values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</si>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</sst>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3" borderId="0" xfId="0" applyFill="1"/>
    <xf numFmtId="0" fontId="0" fillId="3" borderId="5" xfId="0" applyFill="1" applyBorder="1"/>
    <xf numFmtId="0" fontId="1" fillId="3" borderId="4" xfId="0" applyFont="1" applyFill="1" applyBorder="1"/>
    <xf numFmtId="0" fontId="1" fillId="0" borderId="0" xfId="0" applyFont="1" applyAlignment="1">
      <alignment horizontal="center"/>
    </xf>
    <xf numFmtId="0" fontId="0" fillId="3" borderId="4" xfId="0" applyFill="1" applyBorder="1"/>
    <xf numFmtId="0" fontId="1" fillId="4" borderId="0" xfId="0" applyFont="1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0" fillId="0" borderId="3" xfId="0" applyBorder="1"/>
    <xf numFmtId="0" fontId="0" fillId="3" borderId="6" xfId="0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1"/>
  <sheetViews>
    <sheetView zoomScale="134" zoomScaleNormal="134" workbookViewId="0">
      <selection activeCell="E8" sqref="E8"/>
    </sheetView>
  </sheetViews>
  <sheetFormatPr defaultRowHeight="15" x14ac:dyDescent="0.25"/>
  <cols>
    <col min="1" max="1" width="16" customWidth="1"/>
    <col min="2" max="2" width="18.8554687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4"/>
    </row>
    <row r="2" spans="1:13" x14ac:dyDescent="0.25">
      <c r="A2" s="5"/>
      <c r="I2" s="6" t="s">
        <v>2</v>
      </c>
      <c r="J2" s="6"/>
      <c r="K2" s="6"/>
      <c r="L2" s="6"/>
      <c r="M2" s="7"/>
    </row>
    <row r="3" spans="1:13" x14ac:dyDescent="0.25">
      <c r="A3" s="8" t="s">
        <v>3</v>
      </c>
      <c r="C3" s="9" t="s">
        <v>4</v>
      </c>
      <c r="D3" s="9" t="s">
        <v>5</v>
      </c>
      <c r="E3" s="9"/>
      <c r="F3" s="9" t="s">
        <v>6</v>
      </c>
      <c r="I3" s="6"/>
      <c r="J3" s="6" t="s">
        <v>7</v>
      </c>
      <c r="K3" s="6"/>
      <c r="L3" s="6"/>
      <c r="M3" s="7"/>
    </row>
    <row r="4" spans="1:13" x14ac:dyDescent="0.25">
      <c r="A4" s="10" t="s">
        <v>8</v>
      </c>
      <c r="B4" s="11" t="s">
        <v>9</v>
      </c>
      <c r="C4" s="12">
        <v>2</v>
      </c>
      <c r="D4" s="12">
        <v>4</v>
      </c>
      <c r="E4" s="12"/>
      <c r="F4" s="12">
        <f>C4*C5+D4*D5</f>
        <v>260</v>
      </c>
      <c r="G4" t="s">
        <v>10</v>
      </c>
      <c r="I4" s="6"/>
      <c r="J4" s="6" t="s">
        <v>11</v>
      </c>
      <c r="K4" s="6"/>
      <c r="L4" s="6"/>
      <c r="M4" s="7"/>
    </row>
    <row r="5" spans="1:13" x14ac:dyDescent="0.25">
      <c r="A5" s="10"/>
      <c r="B5" s="13" t="s">
        <v>12</v>
      </c>
      <c r="C5" s="14">
        <v>70</v>
      </c>
      <c r="D5" s="14">
        <v>30</v>
      </c>
      <c r="E5" s="15"/>
      <c r="F5" s="15"/>
      <c r="G5" s="16"/>
      <c r="I5" s="6"/>
      <c r="J5" s="6" t="s">
        <v>13</v>
      </c>
      <c r="K5" s="6"/>
      <c r="L5" s="6"/>
      <c r="M5" s="7"/>
    </row>
    <row r="6" spans="1:13" x14ac:dyDescent="0.25">
      <c r="A6" s="10"/>
      <c r="C6" s="15"/>
      <c r="D6" s="15"/>
      <c r="E6" s="15"/>
      <c r="F6" s="15"/>
      <c r="M6" s="17"/>
    </row>
    <row r="7" spans="1:13" x14ac:dyDescent="0.25">
      <c r="A7" s="10" t="s">
        <v>14</v>
      </c>
      <c r="B7" t="s">
        <v>15</v>
      </c>
      <c r="C7" s="15">
        <v>1</v>
      </c>
      <c r="D7" s="15">
        <v>1</v>
      </c>
      <c r="E7" s="14">
        <f>C7*C5+D7*D5</f>
        <v>100</v>
      </c>
      <c r="F7" s="15">
        <v>100</v>
      </c>
      <c r="G7" t="s">
        <v>16</v>
      </c>
      <c r="M7" s="17"/>
    </row>
    <row r="8" spans="1:13" x14ac:dyDescent="0.25">
      <c r="A8" s="10" t="s">
        <v>17</v>
      </c>
      <c r="B8" t="s">
        <v>18</v>
      </c>
      <c r="C8" s="15">
        <v>1</v>
      </c>
      <c r="D8" s="15">
        <v>8</v>
      </c>
      <c r="E8" s="14">
        <f>C8*C5+D8*D5</f>
        <v>310</v>
      </c>
      <c r="F8" s="15">
        <v>200</v>
      </c>
      <c r="G8" t="s">
        <v>19</v>
      </c>
      <c r="M8" s="17"/>
    </row>
    <row r="9" spans="1:13" x14ac:dyDescent="0.25">
      <c r="A9" s="5"/>
      <c r="C9" s="15"/>
      <c r="D9" s="15"/>
      <c r="M9" s="17"/>
    </row>
    <row r="10" spans="1:13" ht="15.75" thickBot="1" x14ac:dyDescent="0.3">
      <c r="A10" s="18"/>
      <c r="B10" s="19"/>
      <c r="C10" s="19"/>
      <c r="D10" s="19"/>
      <c r="E10" s="19"/>
      <c r="F10" s="20" t="s">
        <v>20</v>
      </c>
      <c r="G10" s="19"/>
      <c r="H10" s="19"/>
      <c r="I10" s="19"/>
      <c r="J10" s="19"/>
      <c r="K10" s="19"/>
      <c r="L10" s="19"/>
      <c r="M10" s="21"/>
    </row>
    <row r="11" spans="1:13" ht="15.75" thickBot="1" x14ac:dyDescent="0.3"/>
    <row r="12" spans="1:13" x14ac:dyDescent="0.25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2"/>
    </row>
    <row r="13" spans="1:13" x14ac:dyDescent="0.25">
      <c r="A13" s="5"/>
      <c r="M13" s="17"/>
    </row>
    <row r="14" spans="1:13" x14ac:dyDescent="0.25">
      <c r="A14" s="8" t="s">
        <v>3</v>
      </c>
      <c r="C14" s="9" t="s">
        <v>4</v>
      </c>
      <c r="D14" s="9" t="s">
        <v>5</v>
      </c>
      <c r="E14" s="9"/>
      <c r="F14" s="9" t="s">
        <v>6</v>
      </c>
      <c r="M14" s="17"/>
    </row>
    <row r="15" spans="1:13" x14ac:dyDescent="0.25">
      <c r="A15" s="10" t="s">
        <v>8</v>
      </c>
      <c r="B15" s="11" t="s">
        <v>9</v>
      </c>
      <c r="C15" s="12">
        <v>2</v>
      </c>
      <c r="D15" s="12">
        <v>4</v>
      </c>
      <c r="E15" s="12"/>
      <c r="F15" s="12">
        <f>C15*C16+D15*D16</f>
        <v>0</v>
      </c>
      <c r="G15" t="s">
        <v>10</v>
      </c>
      <c r="M15" s="17"/>
    </row>
    <row r="16" spans="1:13" x14ac:dyDescent="0.25">
      <c r="A16" s="10"/>
      <c r="B16" s="13" t="s">
        <v>12</v>
      </c>
      <c r="C16" s="14">
        <v>0</v>
      </c>
      <c r="D16" s="14">
        <v>0</v>
      </c>
      <c r="E16" s="15"/>
      <c r="F16" s="15"/>
      <c r="M16" s="17"/>
    </row>
    <row r="17" spans="1:13" x14ac:dyDescent="0.25">
      <c r="A17" s="10"/>
      <c r="C17" s="15"/>
      <c r="D17" s="15"/>
      <c r="E17" s="15"/>
      <c r="F17" s="15"/>
      <c r="M17" s="17"/>
    </row>
    <row r="18" spans="1:13" x14ac:dyDescent="0.25">
      <c r="A18" s="10" t="s">
        <v>22</v>
      </c>
      <c r="B18" t="s">
        <v>15</v>
      </c>
      <c r="C18" s="15">
        <v>2</v>
      </c>
      <c r="D18" s="15">
        <v>2</v>
      </c>
      <c r="E18" s="14">
        <f>C18*C16+D18*D16</f>
        <v>0</v>
      </c>
      <c r="F18" s="15">
        <v>300</v>
      </c>
      <c r="G18" t="s">
        <v>23</v>
      </c>
      <c r="M18" s="17"/>
    </row>
    <row r="19" spans="1:13" x14ac:dyDescent="0.25">
      <c r="A19" s="10" t="s">
        <v>24</v>
      </c>
      <c r="B19" t="s">
        <v>18</v>
      </c>
      <c r="C19" s="15">
        <v>4</v>
      </c>
      <c r="D19" s="15">
        <v>3</v>
      </c>
      <c r="E19" s="14">
        <f>C19*C16+D19*D16</f>
        <v>0</v>
      </c>
      <c r="F19" s="15">
        <v>200</v>
      </c>
      <c r="G19" t="s">
        <v>19</v>
      </c>
      <c r="M19" s="17"/>
    </row>
    <row r="20" spans="1:13" x14ac:dyDescent="0.25">
      <c r="A20" s="5"/>
      <c r="M20" s="17"/>
    </row>
    <row r="21" spans="1:13" ht="15.75" thickBot="1" x14ac:dyDescent="0.3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1"/>
    </row>
    <row r="22" spans="1:13" ht="15.75" thickBot="1" x14ac:dyDescent="0.3"/>
    <row r="23" spans="1:13" x14ac:dyDescent="0.25">
      <c r="A23" s="1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2"/>
    </row>
    <row r="24" spans="1:13" x14ac:dyDescent="0.25">
      <c r="A24" s="5"/>
      <c r="M24" s="17"/>
    </row>
    <row r="25" spans="1:13" x14ac:dyDescent="0.25">
      <c r="A25" s="8" t="s">
        <v>3</v>
      </c>
      <c r="C25" s="9" t="s">
        <v>4</v>
      </c>
      <c r="D25" s="9" t="s">
        <v>5</v>
      </c>
      <c r="E25" s="9"/>
      <c r="F25" s="9" t="s">
        <v>6</v>
      </c>
      <c r="M25" s="17"/>
    </row>
    <row r="26" spans="1:13" x14ac:dyDescent="0.25">
      <c r="A26" s="10" t="s">
        <v>26</v>
      </c>
      <c r="B26" s="11" t="s">
        <v>9</v>
      </c>
      <c r="C26" s="12">
        <v>5</v>
      </c>
      <c r="D26" s="12">
        <v>10</v>
      </c>
      <c r="E26" s="12"/>
      <c r="F26" s="12">
        <f>C26*C27+D26*D27</f>
        <v>5000</v>
      </c>
      <c r="G26" t="s">
        <v>10</v>
      </c>
      <c r="M26" s="17"/>
    </row>
    <row r="27" spans="1:13" x14ac:dyDescent="0.25">
      <c r="A27" s="10"/>
      <c r="B27" s="13" t="s">
        <v>12</v>
      </c>
      <c r="C27" s="14">
        <v>0</v>
      </c>
      <c r="D27" s="14">
        <v>500</v>
      </c>
      <c r="E27" s="15"/>
      <c r="F27" s="15"/>
      <c r="M27" s="17"/>
    </row>
    <row r="28" spans="1:13" x14ac:dyDescent="0.25">
      <c r="A28" s="10"/>
      <c r="C28" s="15"/>
      <c r="D28" s="15"/>
      <c r="E28" s="15"/>
      <c r="F28" s="15"/>
      <c r="M28" s="17"/>
    </row>
    <row r="29" spans="1:13" x14ac:dyDescent="0.25">
      <c r="A29" s="10" t="s">
        <v>27</v>
      </c>
      <c r="B29" t="s">
        <v>28</v>
      </c>
      <c r="C29" s="15">
        <v>1</v>
      </c>
      <c r="D29" s="15">
        <v>1</v>
      </c>
      <c r="E29" s="14">
        <f>C29*C27+D29*D27</f>
        <v>500</v>
      </c>
      <c r="F29" s="15">
        <v>100</v>
      </c>
      <c r="G29" t="s">
        <v>29</v>
      </c>
      <c r="M29" s="17"/>
    </row>
    <row r="30" spans="1:13" x14ac:dyDescent="0.25">
      <c r="A30" s="10" t="s">
        <v>30</v>
      </c>
      <c r="B30" t="s">
        <v>28</v>
      </c>
      <c r="C30" s="15">
        <v>2</v>
      </c>
      <c r="D30" s="15">
        <v>2</v>
      </c>
      <c r="E30" s="14">
        <f>C30*C27+D30*D27</f>
        <v>1000</v>
      </c>
      <c r="F30" s="15">
        <v>1000</v>
      </c>
      <c r="G30" t="s">
        <v>31</v>
      </c>
      <c r="M30" s="17"/>
    </row>
    <row r="31" spans="1:13" ht="15.75" thickBot="1" x14ac:dyDescent="0.3">
      <c r="A31" s="23" t="s">
        <v>32</v>
      </c>
      <c r="B31" s="19" t="s">
        <v>18</v>
      </c>
      <c r="C31" s="24">
        <v>1</v>
      </c>
      <c r="D31" s="24">
        <v>2</v>
      </c>
      <c r="E31" s="14">
        <f>C31*C28+D31*D28</f>
        <v>0</v>
      </c>
      <c r="F31" s="24">
        <v>800</v>
      </c>
      <c r="G31" s="19" t="s">
        <v>33</v>
      </c>
      <c r="H31" s="19"/>
      <c r="I31" s="19"/>
      <c r="J31" s="19"/>
      <c r="K31" s="19"/>
      <c r="L31" s="19"/>
      <c r="M3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35"/>
  <sheetViews>
    <sheetView zoomScale="134" zoomScaleNormal="134" workbookViewId="0">
      <selection activeCell="F13" sqref="F13"/>
    </sheetView>
  </sheetViews>
  <sheetFormatPr defaultRowHeight="15" x14ac:dyDescent="0.25"/>
  <cols>
    <col min="1" max="1" width="16" customWidth="1"/>
    <col min="2" max="2" width="18.85546875" customWidth="1"/>
    <col min="13" max="13" width="10.710937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3" t="s">
        <v>34</v>
      </c>
      <c r="J1" s="3"/>
      <c r="K1" s="3"/>
      <c r="L1" s="3"/>
      <c r="M1" s="4"/>
    </row>
    <row r="2" spans="1:13" x14ac:dyDescent="0.25">
      <c r="A2" s="5"/>
      <c r="I2" s="6" t="s">
        <v>35</v>
      </c>
      <c r="J2" s="6"/>
      <c r="K2" s="6"/>
      <c r="L2" s="6"/>
      <c r="M2" s="7"/>
    </row>
    <row r="3" spans="1:13" x14ac:dyDescent="0.25">
      <c r="A3" s="8" t="s">
        <v>3</v>
      </c>
      <c r="C3" s="9" t="s">
        <v>4</v>
      </c>
      <c r="D3" s="9" t="s">
        <v>5</v>
      </c>
      <c r="E3" s="9"/>
      <c r="F3" s="9" t="s">
        <v>6</v>
      </c>
      <c r="I3" s="6"/>
      <c r="J3" s="6" t="s">
        <v>36</v>
      </c>
      <c r="K3" s="6"/>
      <c r="L3" s="6"/>
      <c r="M3" s="7"/>
    </row>
    <row r="4" spans="1:13" x14ac:dyDescent="0.25">
      <c r="A4" s="10" t="s">
        <v>37</v>
      </c>
      <c r="B4" s="11" t="s">
        <v>9</v>
      </c>
      <c r="C4" s="12">
        <v>3</v>
      </c>
      <c r="D4" s="12">
        <v>4</v>
      </c>
      <c r="E4" s="12"/>
      <c r="F4" s="12">
        <f>C4*C5+D4*D5</f>
        <v>675</v>
      </c>
      <c r="G4" t="s">
        <v>10</v>
      </c>
      <c r="I4" s="6"/>
      <c r="J4" s="6" t="s">
        <v>38</v>
      </c>
      <c r="K4" s="6"/>
      <c r="L4" s="6"/>
      <c r="M4" s="7"/>
    </row>
    <row r="5" spans="1:13" x14ac:dyDescent="0.25">
      <c r="A5" s="10"/>
      <c r="B5" s="13" t="s">
        <v>12</v>
      </c>
      <c r="C5" s="14">
        <v>125.00000000000003</v>
      </c>
      <c r="D5" s="14">
        <v>74.999999999999972</v>
      </c>
      <c r="E5" s="15"/>
      <c r="F5" s="15"/>
      <c r="G5" s="16"/>
      <c r="I5" s="6"/>
      <c r="J5" s="6" t="s">
        <v>39</v>
      </c>
      <c r="K5" s="6"/>
      <c r="L5" s="6"/>
      <c r="M5" s="7"/>
    </row>
    <row r="6" spans="1:13" x14ac:dyDescent="0.25">
      <c r="A6" s="10"/>
      <c r="C6" s="15"/>
      <c r="D6" s="15"/>
      <c r="E6" s="15"/>
      <c r="F6" s="15"/>
      <c r="M6" s="17"/>
    </row>
    <row r="7" spans="1:13" x14ac:dyDescent="0.25">
      <c r="A7" s="10" t="s">
        <v>40</v>
      </c>
      <c r="B7" t="s">
        <v>15</v>
      </c>
      <c r="C7" s="15">
        <v>1</v>
      </c>
      <c r="D7" s="15">
        <v>1</v>
      </c>
      <c r="E7" s="14">
        <f>C7*C5+D7*D5</f>
        <v>200</v>
      </c>
      <c r="F7" s="15">
        <v>200</v>
      </c>
      <c r="M7" s="17"/>
    </row>
    <row r="8" spans="1:13" x14ac:dyDescent="0.25">
      <c r="A8" s="10" t="s">
        <v>41</v>
      </c>
      <c r="B8" t="s">
        <v>18</v>
      </c>
      <c r="C8" s="15">
        <v>12</v>
      </c>
      <c r="D8" s="15">
        <v>20</v>
      </c>
      <c r="E8" s="14">
        <f>C8*C5+D8*D5</f>
        <v>3000</v>
      </c>
      <c r="F8" s="15">
        <v>3000</v>
      </c>
      <c r="M8" s="17"/>
    </row>
    <row r="9" spans="1:13" x14ac:dyDescent="0.25">
      <c r="A9" s="5"/>
      <c r="C9" s="15"/>
      <c r="D9" s="15"/>
      <c r="H9" t="s">
        <v>42</v>
      </c>
      <c r="M9" s="17"/>
    </row>
    <row r="10" spans="1:13" ht="15.75" thickBot="1" x14ac:dyDescent="0.3">
      <c r="A10" s="18"/>
      <c r="B10" s="19"/>
      <c r="C10" s="19"/>
      <c r="D10" s="19"/>
      <c r="E10" s="19"/>
      <c r="F10" s="20"/>
      <c r="G10" s="19"/>
      <c r="H10" s="19"/>
      <c r="I10" s="19" t="s">
        <v>43</v>
      </c>
      <c r="J10" s="19"/>
      <c r="K10" s="19"/>
      <c r="L10" s="19"/>
      <c r="M10" s="21"/>
    </row>
    <row r="11" spans="1:13" ht="15.75" thickBot="1" x14ac:dyDescent="0.3"/>
    <row r="12" spans="1:13" x14ac:dyDescent="0.25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2"/>
    </row>
    <row r="13" spans="1:13" x14ac:dyDescent="0.25">
      <c r="A13" s="5"/>
      <c r="M13" s="17"/>
    </row>
    <row r="14" spans="1:13" x14ac:dyDescent="0.25">
      <c r="A14" s="8" t="s">
        <v>3</v>
      </c>
      <c r="C14" s="9" t="s">
        <v>4</v>
      </c>
      <c r="D14" s="9" t="s">
        <v>5</v>
      </c>
      <c r="E14" s="9"/>
      <c r="F14" s="9" t="s">
        <v>6</v>
      </c>
      <c r="M14" s="17"/>
    </row>
    <row r="15" spans="1:13" x14ac:dyDescent="0.25">
      <c r="A15" s="10" t="s">
        <v>44</v>
      </c>
      <c r="B15" s="11" t="s">
        <v>9</v>
      </c>
      <c r="C15" s="12">
        <v>2</v>
      </c>
      <c r="D15" s="12">
        <v>6</v>
      </c>
      <c r="E15" s="12"/>
      <c r="F15" s="12">
        <f>C15*C16+D15*D16</f>
        <v>0</v>
      </c>
      <c r="G15" t="s">
        <v>10</v>
      </c>
      <c r="M15" s="17"/>
    </row>
    <row r="16" spans="1:13" x14ac:dyDescent="0.25">
      <c r="A16" s="10"/>
      <c r="B16" s="13" t="s">
        <v>12</v>
      </c>
      <c r="C16" s="14">
        <v>0</v>
      </c>
      <c r="D16" s="14">
        <v>0</v>
      </c>
      <c r="E16" s="15"/>
      <c r="F16" s="15"/>
      <c r="M16" s="17"/>
    </row>
    <row r="17" spans="1:13" x14ac:dyDescent="0.25">
      <c r="A17" s="10"/>
      <c r="C17" s="15"/>
      <c r="D17" s="15"/>
      <c r="E17" s="15"/>
      <c r="F17" s="15"/>
      <c r="M17" s="17"/>
    </row>
    <row r="18" spans="1:13" x14ac:dyDescent="0.25">
      <c r="A18" s="10" t="s">
        <v>45</v>
      </c>
      <c r="B18" t="s">
        <v>15</v>
      </c>
      <c r="C18" s="15">
        <v>1</v>
      </c>
      <c r="D18" s="15">
        <v>2</v>
      </c>
      <c r="E18" s="14">
        <f>C18*C16+D18*D16</f>
        <v>0</v>
      </c>
      <c r="F18" s="15">
        <v>100</v>
      </c>
      <c r="M18" s="17"/>
    </row>
    <row r="19" spans="1:13" x14ac:dyDescent="0.25">
      <c r="A19" s="10" t="s">
        <v>46</v>
      </c>
      <c r="B19" t="s">
        <v>18</v>
      </c>
      <c r="C19" s="15">
        <v>10</v>
      </c>
      <c r="D19" s="15">
        <v>25</v>
      </c>
      <c r="E19" s="14">
        <f>C19*C16+D19*D16</f>
        <v>0</v>
      </c>
      <c r="F19" s="15">
        <v>4000</v>
      </c>
      <c r="M19" s="17"/>
    </row>
    <row r="20" spans="1:13" x14ac:dyDescent="0.25">
      <c r="A20" s="5"/>
      <c r="M20" s="17"/>
    </row>
    <row r="21" spans="1:13" ht="15.75" thickBot="1" x14ac:dyDescent="0.3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1"/>
    </row>
    <row r="22" spans="1:13" ht="15.75" thickBot="1" x14ac:dyDescent="0.3"/>
    <row r="23" spans="1:13" x14ac:dyDescent="0.25">
      <c r="A23" s="1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2"/>
    </row>
    <row r="24" spans="1:13" x14ac:dyDescent="0.25">
      <c r="A24" s="5"/>
      <c r="M24" s="17"/>
    </row>
    <row r="25" spans="1:13" x14ac:dyDescent="0.25">
      <c r="A25" s="8" t="s">
        <v>3</v>
      </c>
      <c r="C25" s="9" t="s">
        <v>4</v>
      </c>
      <c r="D25" s="9" t="s">
        <v>5</v>
      </c>
      <c r="E25" s="9"/>
      <c r="F25" s="9" t="s">
        <v>6</v>
      </c>
      <c r="M25" s="17"/>
    </row>
    <row r="26" spans="1:13" x14ac:dyDescent="0.25">
      <c r="A26" s="10" t="s">
        <v>26</v>
      </c>
      <c r="B26" s="11" t="s">
        <v>9</v>
      </c>
      <c r="C26" s="12">
        <v>5</v>
      </c>
      <c r="D26" s="12">
        <v>10</v>
      </c>
      <c r="E26" s="12"/>
      <c r="F26" s="12">
        <f>C26*C27+D26*D27</f>
        <v>5000</v>
      </c>
      <c r="G26" t="s">
        <v>10</v>
      </c>
      <c r="M26" s="17"/>
    </row>
    <row r="27" spans="1:13" x14ac:dyDescent="0.25">
      <c r="A27" s="10"/>
      <c r="B27" s="13" t="s">
        <v>12</v>
      </c>
      <c r="C27" s="14">
        <v>0</v>
      </c>
      <c r="D27" s="14">
        <v>500</v>
      </c>
      <c r="E27" s="15"/>
      <c r="F27" s="15"/>
      <c r="M27" s="17"/>
    </row>
    <row r="28" spans="1:13" x14ac:dyDescent="0.25">
      <c r="A28" s="10"/>
      <c r="C28" s="15"/>
      <c r="D28" s="15"/>
      <c r="E28" s="15"/>
      <c r="F28" s="15"/>
      <c r="M28" s="17"/>
    </row>
    <row r="29" spans="1:13" x14ac:dyDescent="0.25">
      <c r="A29" s="10" t="s">
        <v>27</v>
      </c>
      <c r="B29" t="s">
        <v>28</v>
      </c>
      <c r="C29" s="15">
        <v>1</v>
      </c>
      <c r="D29" s="15">
        <v>1</v>
      </c>
      <c r="E29" s="14">
        <f>C29*C27+D29*D27</f>
        <v>500</v>
      </c>
      <c r="F29" s="15">
        <v>100</v>
      </c>
      <c r="G29" t="s">
        <v>29</v>
      </c>
      <c r="M29" s="17"/>
    </row>
    <row r="30" spans="1:13" x14ac:dyDescent="0.25">
      <c r="A30" s="10" t="s">
        <v>30</v>
      </c>
      <c r="B30" t="s">
        <v>28</v>
      </c>
      <c r="C30" s="15">
        <v>2</v>
      </c>
      <c r="D30" s="15">
        <v>2</v>
      </c>
      <c r="E30" s="14">
        <f>C30*C27+D30*D27</f>
        <v>1000</v>
      </c>
      <c r="F30" s="15">
        <v>1000</v>
      </c>
      <c r="G30" t="s">
        <v>31</v>
      </c>
      <c r="M30" s="17"/>
    </row>
    <row r="31" spans="1:13" ht="15.75" thickBot="1" x14ac:dyDescent="0.3">
      <c r="A31" s="23" t="s">
        <v>32</v>
      </c>
      <c r="B31" s="19" t="s">
        <v>18</v>
      </c>
      <c r="C31" s="24">
        <v>1</v>
      </c>
      <c r="D31" s="24">
        <v>2</v>
      </c>
      <c r="E31" s="14">
        <f>C31*C28+D31*D28</f>
        <v>0</v>
      </c>
      <c r="F31" s="24">
        <v>800</v>
      </c>
      <c r="G31" s="19" t="s">
        <v>33</v>
      </c>
      <c r="H31" s="19"/>
      <c r="I31" s="19"/>
      <c r="J31" s="19"/>
      <c r="K31" s="19"/>
      <c r="L31" s="19"/>
      <c r="M31" s="21"/>
    </row>
    <row r="35" spans="2:2" x14ac:dyDescent="0.25">
      <c r="B3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1D35-67B9-47B6-9BDA-4E5D14E91667}">
  <dimension ref="A1:N10"/>
  <sheetViews>
    <sheetView workbookViewId="0">
      <selection activeCell="B5" sqref="B5:E5"/>
    </sheetView>
  </sheetViews>
  <sheetFormatPr defaultRowHeight="15" x14ac:dyDescent="0.25"/>
  <cols>
    <col min="1" max="2" width="22.140625" customWidth="1"/>
  </cols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4"/>
    </row>
    <row r="2" spans="1:14" x14ac:dyDescent="0.25">
      <c r="A2" s="5"/>
      <c r="J2" s="6" t="s">
        <v>2</v>
      </c>
      <c r="K2" s="6"/>
      <c r="L2" s="6"/>
      <c r="M2" s="6"/>
      <c r="N2" s="7"/>
    </row>
    <row r="3" spans="1:14" x14ac:dyDescent="0.25">
      <c r="A3" s="8" t="s">
        <v>3</v>
      </c>
      <c r="C3" s="9" t="s">
        <v>4</v>
      </c>
      <c r="D3" s="9" t="s">
        <v>5</v>
      </c>
      <c r="E3" s="9" t="s">
        <v>47</v>
      </c>
      <c r="F3" s="9"/>
      <c r="G3" s="9" t="s">
        <v>6</v>
      </c>
      <c r="J3" s="6"/>
      <c r="K3" s="6" t="s">
        <v>7</v>
      </c>
      <c r="L3" s="6"/>
      <c r="M3" s="6"/>
      <c r="N3" s="7"/>
    </row>
    <row r="4" spans="1:14" x14ac:dyDescent="0.25">
      <c r="A4" s="10" t="s">
        <v>8</v>
      </c>
      <c r="B4" s="11" t="s">
        <v>9</v>
      </c>
      <c r="C4" s="12">
        <v>10</v>
      </c>
      <c r="D4" s="12">
        <v>14</v>
      </c>
      <c r="E4" s="12">
        <v>0</v>
      </c>
      <c r="F4" s="12"/>
      <c r="G4" s="12">
        <f>C4*C5+D4*D5</f>
        <v>86</v>
      </c>
      <c r="H4" t="s">
        <v>10</v>
      </c>
      <c r="J4" s="6"/>
      <c r="K4" s="6" t="s">
        <v>11</v>
      </c>
      <c r="L4" s="6"/>
      <c r="M4" s="6"/>
      <c r="N4" s="7"/>
    </row>
    <row r="5" spans="1:14" x14ac:dyDescent="0.25">
      <c r="A5" s="10"/>
      <c r="B5" s="13" t="s">
        <v>12</v>
      </c>
      <c r="C5" s="14">
        <v>3</v>
      </c>
      <c r="D5" s="14">
        <v>4</v>
      </c>
      <c r="E5" s="14">
        <v>0</v>
      </c>
      <c r="F5" s="15"/>
      <c r="G5" s="15"/>
      <c r="H5" s="16"/>
      <c r="J5" s="6"/>
      <c r="K5" s="6" t="s">
        <v>13</v>
      </c>
      <c r="L5" s="6"/>
      <c r="M5" s="6"/>
      <c r="N5" s="7"/>
    </row>
    <row r="6" spans="1:14" x14ac:dyDescent="0.25">
      <c r="A6" s="10"/>
      <c r="C6" s="15"/>
      <c r="D6" s="15"/>
      <c r="E6" s="15"/>
      <c r="F6" s="15"/>
      <c r="G6" s="15"/>
      <c r="N6" s="17"/>
    </row>
    <row r="7" spans="1:14" x14ac:dyDescent="0.25">
      <c r="A7" s="10" t="s">
        <v>14</v>
      </c>
      <c r="B7" t="s">
        <v>15</v>
      </c>
      <c r="C7" s="15">
        <v>2</v>
      </c>
      <c r="D7" s="15">
        <v>1</v>
      </c>
      <c r="E7" s="15">
        <v>0</v>
      </c>
      <c r="F7" s="14">
        <f t="shared" ref="F7:F8" si="0">$C$5*C7+$D$5*D7+$E$5*E7</f>
        <v>10</v>
      </c>
      <c r="G7" s="15">
        <v>10</v>
      </c>
      <c r="H7" t="s">
        <v>16</v>
      </c>
      <c r="N7" s="17"/>
    </row>
    <row r="8" spans="1:14" x14ac:dyDescent="0.25">
      <c r="A8" s="10" t="s">
        <v>17</v>
      </c>
      <c r="B8" t="s">
        <v>18</v>
      </c>
      <c r="C8" s="15">
        <v>1</v>
      </c>
      <c r="D8" s="15">
        <v>3</v>
      </c>
      <c r="E8" s="15">
        <v>0</v>
      </c>
      <c r="F8" s="14">
        <f t="shared" si="0"/>
        <v>15</v>
      </c>
      <c r="G8" s="15">
        <v>15</v>
      </c>
      <c r="H8" t="s">
        <v>19</v>
      </c>
      <c r="N8" s="17"/>
    </row>
    <row r="9" spans="1:14" x14ac:dyDescent="0.25">
      <c r="A9" s="5"/>
      <c r="C9" s="15"/>
      <c r="D9" s="15"/>
      <c r="E9" s="15"/>
      <c r="F9" s="14"/>
      <c r="G9" s="15"/>
      <c r="N9" s="17"/>
    </row>
    <row r="10" spans="1:14" ht="15.75" thickBot="1" x14ac:dyDescent="0.3">
      <c r="A10" s="18"/>
      <c r="B10" s="19"/>
      <c r="C10" s="19"/>
      <c r="D10" s="19"/>
      <c r="E10" s="19"/>
      <c r="F10" s="19"/>
      <c r="G10" s="20" t="s">
        <v>20</v>
      </c>
      <c r="H10" s="19"/>
      <c r="I10" s="19"/>
      <c r="J10" s="19"/>
      <c r="K10" s="19"/>
      <c r="L10" s="19"/>
      <c r="M10" s="19"/>
      <c r="N1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3EB3-C81C-4358-9FF9-233E792070F6}">
  <dimension ref="A1:D10"/>
  <sheetViews>
    <sheetView tabSelected="1" workbookViewId="0">
      <selection activeCell="B2" sqref="B2"/>
    </sheetView>
  </sheetViews>
  <sheetFormatPr defaultRowHeight="15" x14ac:dyDescent="0.25"/>
  <cols>
    <col min="1" max="1" width="14.85546875" customWidth="1"/>
    <col min="4" max="4" width="13.5703125" customWidth="1"/>
  </cols>
  <sheetData>
    <row r="1" spans="1:4" x14ac:dyDescent="0.25">
      <c r="B1" s="25" t="s">
        <v>4</v>
      </c>
      <c r="C1" s="25" t="s">
        <v>5</v>
      </c>
      <c r="D1" s="25" t="s">
        <v>52</v>
      </c>
    </row>
    <row r="3" spans="1:4" x14ac:dyDescent="0.25">
      <c r="A3" t="s">
        <v>48</v>
      </c>
      <c r="B3">
        <v>8</v>
      </c>
      <c r="C3">
        <v>12</v>
      </c>
      <c r="D3">
        <f>B9*B3+B10*C3</f>
        <v>20</v>
      </c>
    </row>
    <row r="5" spans="1:4" x14ac:dyDescent="0.25">
      <c r="A5" t="s">
        <v>49</v>
      </c>
      <c r="B5">
        <v>10</v>
      </c>
      <c r="C5">
        <v>20</v>
      </c>
    </row>
    <row r="6" spans="1:4" x14ac:dyDescent="0.25">
      <c r="A6" t="s">
        <v>50</v>
      </c>
      <c r="B6">
        <v>6</v>
      </c>
      <c r="C6">
        <v>8</v>
      </c>
    </row>
    <row r="8" spans="1:4" x14ac:dyDescent="0.25">
      <c r="A8" t="s">
        <v>51</v>
      </c>
    </row>
    <row r="9" spans="1:4" x14ac:dyDescent="0.25">
      <c r="A9" t="s">
        <v>4</v>
      </c>
      <c r="B9">
        <v>1</v>
      </c>
    </row>
    <row r="10" spans="1:4" x14ac:dyDescent="0.25">
      <c r="A10" t="s">
        <v>5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LP_class</vt:lpstr>
      <vt:lpstr>LP_HW</vt:lpstr>
      <vt:lpstr>Sheet1</vt:lpstr>
      <vt:lpstr>Sheet2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Son Nguyen</cp:lastModifiedBy>
  <dcterms:created xsi:type="dcterms:W3CDTF">2023-08-28T13:35:05Z</dcterms:created>
  <dcterms:modified xsi:type="dcterms:W3CDTF">2024-01-17T18:15:18Z</dcterms:modified>
</cp:coreProperties>
</file>