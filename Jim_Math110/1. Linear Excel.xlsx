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bishop\Desktop\Old Laptop\Math110\"/>
    </mc:Choice>
  </mc:AlternateContent>
  <bookViews>
    <workbookView xWindow="0" yWindow="0" windowWidth="23040" windowHeight="7812"/>
  </bookViews>
  <sheets>
    <sheet name="Linear Topics" sheetId="4" r:id="rId1"/>
    <sheet name="Linear Estimation" sheetId="5" r:id="rId2"/>
    <sheet name="Linear Trend" sheetId="6" r:id="rId3"/>
    <sheet name="Linear Regression" sheetId="7" r:id="rId4"/>
    <sheet name="Linear HW" sheetId="8" r:id="rId5"/>
  </sheets>
  <externalReferences>
    <externalReference r:id="rId6"/>
  </externalReferences>
  <definedNames>
    <definedName name="solver_adj" localSheetId="1" hidden="1">'Linear Estimation'!$B$20</definedName>
    <definedName name="solver_adj" localSheetId="2" hidden="1">'Linear Trend'!$B$22</definedName>
    <definedName name="solver_cvg" localSheetId="1" hidden="1">0.0001</definedName>
    <definedName name="solver_cvg" localSheetId="2" hidden="1">0.0001</definedName>
    <definedName name="solver_drv" localSheetId="1" hidden="1">2</definedName>
    <definedName name="solver_drv" localSheetId="2" hidden="1">2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0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opt" localSheetId="1" hidden="1">'Linear Estimation'!$F$13</definedName>
    <definedName name="solver_opt" localSheetId="2" hidden="1">'Linear Trend'!$F$15</definedName>
    <definedName name="solver_pre" localSheetId="1" hidden="1">0.000001</definedName>
    <definedName name="solver_pre" localSheetId="2" hidden="1">0.000001</definedName>
    <definedName name="solver_rbv" localSheetId="1" hidden="1">2</definedName>
    <definedName name="solver_rbv" localSheetId="2" hidden="1">2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2</definedName>
    <definedName name="solver_scl" localSheetId="2" hidden="1">2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7" l="1"/>
  <c r="D28" i="7"/>
  <c r="D27" i="7"/>
  <c r="D26" i="7"/>
  <c r="D25" i="7"/>
  <c r="D30" i="7" s="1"/>
  <c r="E13" i="6"/>
  <c r="F13" i="6" s="1"/>
  <c r="E12" i="6"/>
  <c r="F12" i="6" s="1"/>
  <c r="E11" i="6"/>
  <c r="F11" i="6" s="1"/>
  <c r="E10" i="6"/>
  <c r="F10" i="6" s="1"/>
  <c r="E9" i="6"/>
  <c r="F9" i="6" s="1"/>
  <c r="E11" i="5"/>
  <c r="F11" i="5" s="1"/>
  <c r="B11" i="5"/>
  <c r="F10" i="5"/>
  <c r="E10" i="5"/>
  <c r="B10" i="5"/>
  <c r="E9" i="5"/>
  <c r="F9" i="5" s="1"/>
  <c r="B9" i="5"/>
  <c r="E8" i="5"/>
  <c r="F8" i="5" s="1"/>
  <c r="B8" i="5"/>
  <c r="B13" i="5" s="1"/>
  <c r="E7" i="5"/>
  <c r="F7" i="5" s="1"/>
  <c r="F13" i="5" s="1"/>
  <c r="F15" i="6" l="1"/>
</calcChain>
</file>

<file path=xl/sharedStrings.xml><?xml version="1.0" encoding="utf-8"?>
<sst xmlns="http://schemas.openxmlformats.org/spreadsheetml/2006/main" count="109" uniqueCount="90">
  <si>
    <t>slopes</t>
  </si>
  <si>
    <t>x</t>
  </si>
  <si>
    <t>y</t>
  </si>
  <si>
    <t>formula</t>
  </si>
  <si>
    <t>error-square</t>
  </si>
  <si>
    <t>avg slope</t>
  </si>
  <si>
    <t>total error</t>
  </si>
  <si>
    <t>y = 15x + b</t>
  </si>
  <si>
    <t>we found the slope as average of slopes at each point</t>
  </si>
  <si>
    <t>130 = 15(1)+b</t>
  </si>
  <si>
    <t>now find the intercept by plugging in closest point to x=0 (so use x=1, y=130)</t>
  </si>
  <si>
    <t>b=115</t>
  </si>
  <si>
    <t>solve to find intercept…. You have the line now!</t>
  </si>
  <si>
    <t>y = mx + b</t>
  </si>
  <si>
    <t>y = 15x+115</t>
  </si>
  <si>
    <t>now plug in x values - see column E above "formula"</t>
  </si>
  <si>
    <t>Topics</t>
  </si>
  <si>
    <t>Theory - boardwork</t>
  </si>
  <si>
    <t>a</t>
  </si>
  <si>
    <t xml:space="preserve">  review terms: slope = dy/dx, intercept</t>
  </si>
  <si>
    <t>b</t>
  </si>
  <si>
    <t xml:space="preserve">  graph examples</t>
  </si>
  <si>
    <t>Applications</t>
  </si>
  <si>
    <t xml:space="preserve">   profit, revenue, cost</t>
  </si>
  <si>
    <t xml:space="preserve">   distance = rate * time</t>
  </si>
  <si>
    <t>c</t>
  </si>
  <si>
    <t xml:space="preserve">   simple interest</t>
  </si>
  <si>
    <t>QUIZ</t>
  </si>
  <si>
    <t>Real Data</t>
  </si>
  <si>
    <t>Excel</t>
  </si>
  <si>
    <t xml:space="preserve">  SAT vs GPA - looks linear?</t>
  </si>
  <si>
    <t xml:space="preserve">   trendline in Excel</t>
  </si>
  <si>
    <t xml:space="preserve">   regression in Excel</t>
  </si>
  <si>
    <t>d</t>
  </si>
  <si>
    <t xml:space="preserve">   Another example</t>
  </si>
  <si>
    <t>e</t>
  </si>
  <si>
    <t xml:space="preserve">   you do trendline and regression</t>
  </si>
  <si>
    <t>first half of case study #1</t>
  </si>
  <si>
    <t>y = 14.75x + 105.25</t>
  </si>
  <si>
    <t>linear equation</t>
  </si>
  <si>
    <t>SUMMARY OUTPUT</t>
  </si>
  <si>
    <t>Regression Statistics</t>
  </si>
  <si>
    <t>Multiple R</t>
  </si>
  <si>
    <t>R Square</t>
  </si>
  <si>
    <t>Adjusted R Square</t>
  </si>
  <si>
    <t>Standard Error</t>
  </si>
  <si>
    <t>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</si>
  <si>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</si>
  <si>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</si>
  <si>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</si>
  <si>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</si>
  <si>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</si>
  <si>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</si>
  <si>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</si>
  <si>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</si>
  <si>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</si>
  <si>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</si>
  <si>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</si>
  <si>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</si>
  <si>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</si>
  <si>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</si>
  <si>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</si>
  <si>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</si>
  <si>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</si>
  <si>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</si>
  <si>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</si>
  <si>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Observation</t>
  </si>
  <si>
    <t>Predicted y</t>
  </si>
  <si>
    <t>Residuals</t>
  </si>
  <si>
    <t>squared</t>
  </si>
  <si>
    <t>a.  Given (x,y) points in green, estimate the equation of the graph</t>
  </si>
  <si>
    <t>b.  Use the average of all slopes in orange, then plug in a point to get intercept</t>
  </si>
  <si>
    <t>c.  Plug all x values into your equation (column E), then find error (column F)</t>
  </si>
  <si>
    <t xml:space="preserve">Make the Chart by first highlighting the green cells: </t>
  </si>
  <si>
    <t>"Insert"/ "Scatter Chart" / hit "+" on upper right / check "trendline" then hit the little arrow to the right</t>
  </si>
  <si>
    <t xml:space="preserve"> check off "Linear" and "more options" / at the bottom "display equation on chart"</t>
  </si>
  <si>
    <t xml:space="preserve">"Insert"/ "Scatter Chart" </t>
  </si>
  <si>
    <t>a.  Create the linear formula using Chart function "trendline"</t>
  </si>
  <si>
    <t>b.  Plug all x values into your equation (column E), then find error (column F)</t>
  </si>
  <si>
    <t>1. Linear Equations - "trendline"</t>
  </si>
  <si>
    <t>c.  Use the "Data" / "Data Analysis" / "Regression" to create a new "Linear Regression" tab</t>
  </si>
  <si>
    <t>highlight column D for the first box, column C for the second box</t>
  </si>
  <si>
    <t>check the "labels" box, and "line fit" box, then hit "OK".</t>
  </si>
  <si>
    <t>d.  You can compare the formula in the "Linear Regression" tab to the one in this tab - they match!</t>
  </si>
  <si>
    <t>1. Linear Equations - estimation</t>
  </si>
  <si>
    <t>1. Create estimation equation</t>
  </si>
  <si>
    <t>2. Create trendline equation</t>
  </si>
  <si>
    <t>3. Create regression equation</t>
  </si>
  <si>
    <t>4. When x = 20, what are the values of y based on your equations</t>
  </si>
  <si>
    <t>5. Which equation is more accurate?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</si>
</sst>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1" applyFont="1" applyFill="1" applyAlignment="1">
      <alignment horizontal="right"/>
    </xf>
    <xf numFmtId="0" fontId="0" fillId="2" borderId="0" xfId="0" applyFill="1"/>
    <xf numFmtId="0" fontId="2" fillId="3" borderId="0" xfId="0" applyFont="1" applyFill="1" applyAlignment="1">
      <alignment horizontal="right"/>
    </xf>
    <xf numFmtId="44" fontId="2" fillId="3" borderId="0" xfId="1" applyFont="1" applyFill="1" applyAlignment="1">
      <alignment horizontal="right"/>
    </xf>
    <xf numFmtId="0" fontId="2" fillId="0" borderId="0" xfId="0" applyFont="1" applyAlignment="1">
      <alignment horizontal="right"/>
    </xf>
    <xf numFmtId="0" fontId="0" fillId="3" borderId="0" xfId="0" applyFill="1" applyAlignment="1">
      <alignment vertical="center"/>
    </xf>
    <xf numFmtId="2" fontId="0" fillId="0" borderId="0" xfId="0" applyNumberFormat="1"/>
    <xf numFmtId="0" fontId="0" fillId="2" borderId="0" xfId="0" applyFill="1" applyAlignment="1">
      <alignment horizontal="center"/>
    </xf>
    <xf numFmtId="2" fontId="0" fillId="4" borderId="0" xfId="0" applyNumberFormat="1" applyFill="1"/>
    <xf numFmtId="164" fontId="0" fillId="0" borderId="0" xfId="0" applyNumberFormat="1" applyFill="1" applyAlignment="1">
      <alignment horizontal="left"/>
    </xf>
    <xf numFmtId="0" fontId="2" fillId="0" borderId="0" xfId="0" applyFont="1"/>
    <xf numFmtId="0" fontId="0" fillId="0" borderId="0" xfId="0" applyFill="1"/>
    <xf numFmtId="0" fontId="2" fillId="2" borderId="0" xfId="0" applyFont="1" applyFill="1"/>
    <xf numFmtId="0" fontId="3" fillId="0" borderId="1" xfId="0" applyFont="1" applyFill="1" applyBorder="1" applyAlignment="1">
      <alignment horizontal="centerContinuous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1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0" fillId="2" borderId="0" xfId="0" applyFill="1" applyBorder="1" applyAlignment="1"/>
    <xf numFmtId="0" fontId="0" fillId="2" borderId="2" xfId="0" applyFill="1" applyBorder="1" applyAlignment="1"/>
    <xf numFmtId="0" fontId="3" fillId="2" borderId="0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4" fillId="3" borderId="0" xfId="0" applyFont="1" applyFill="1" applyAlignment="1">
      <alignment horizontal="right"/>
    </xf>
    <xf numFmtId="44" fontId="4" fillId="3" borderId="0" xfId="1" applyFont="1" applyFill="1" applyAlignment="1">
      <alignment horizontal="right"/>
    </xf>
    <xf numFmtId="0" fontId="5" fillId="0" borderId="0" xfId="0" applyFont="1"/>
    <xf numFmtId="0" fontId="5" fillId="3" borderId="0" xfId="0" applyFont="1" applyFill="1" applyAlignment="1">
      <alignment vertical="center"/>
    </xf>
    <xf numFmtId="0" fontId="5" fillId="0" borderId="0" xfId="0" applyFont="1" applyFill="1"/>
    <xf numFmtId="0" fontId="4" fillId="0" borderId="0" xfId="0" applyFont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5" borderId="0" xfId="0" applyFont="1" applyFill="1"/>
    <xf numFmtId="0" fontId="5" fillId="0" borderId="0" xfId="0" applyFont="1" applyAlignment="1">
      <alignment horizontal="center"/>
    </xf>
    <xf numFmtId="0" fontId="4" fillId="5" borderId="0" xfId="0" applyFont="1" applyFill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'Linear Estimation'!$C$7:$C$11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xVal>
          <c:yVal>
            <c:numRef>
              <c:f>'Linear Estimation'!$D$7:$D$11</c:f>
              <c:numCache>
                <c:formatCode>General</c:formatCode>
                <c:ptCount val="5"/>
                <c:pt idx="0">
                  <c:v>130</c:v>
                </c:pt>
                <c:pt idx="1">
                  <c:v>145</c:v>
                </c:pt>
                <c:pt idx="2">
                  <c:v>170</c:v>
                </c:pt>
                <c:pt idx="3">
                  <c:v>200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56-4F77-896C-273B1240B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137112"/>
        <c:axId val="533142360"/>
      </c:scatterChart>
      <c:valAx>
        <c:axId val="533137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142360"/>
        <c:crosses val="autoZero"/>
        <c:crossBetween val="midCat"/>
      </c:valAx>
      <c:valAx>
        <c:axId val="53314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137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'Linear Trend'!$C$9:$C$13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xVal>
          <c:yVal>
            <c:numRef>
              <c:f>'Linear Trend'!$D$9:$D$13</c:f>
              <c:numCache>
                <c:formatCode>General</c:formatCode>
                <c:ptCount val="5"/>
                <c:pt idx="0">
                  <c:v>130</c:v>
                </c:pt>
                <c:pt idx="1">
                  <c:v>145</c:v>
                </c:pt>
                <c:pt idx="2">
                  <c:v>170</c:v>
                </c:pt>
                <c:pt idx="3">
                  <c:v>200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87-4F46-A211-B23E0D4F7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137112"/>
        <c:axId val="533142360"/>
      </c:scatterChart>
      <c:valAx>
        <c:axId val="533137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142360"/>
        <c:crosses val="autoZero"/>
        <c:crossBetween val="midCat"/>
      </c:valAx>
      <c:valAx>
        <c:axId val="53314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137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Line Fit 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'Linear Estimation'!$C$7:$C$11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xVal>
          <c:yVal>
            <c:numRef>
              <c:f>'Linear Estimation'!$D$7:$D$11</c:f>
              <c:numCache>
                <c:formatCode>General</c:formatCode>
                <c:ptCount val="5"/>
                <c:pt idx="0">
                  <c:v>130</c:v>
                </c:pt>
                <c:pt idx="1">
                  <c:v>145</c:v>
                </c:pt>
                <c:pt idx="2">
                  <c:v>170</c:v>
                </c:pt>
                <c:pt idx="3">
                  <c:v>200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A9-4B60-A4BE-6076611799CD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'Linear Estimation'!$C$7:$C$11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xVal>
          <c:yVal>
            <c:numRef>
              <c:f>'Linear Regression'!$B$25:$B$29</c:f>
              <c:numCache>
                <c:formatCode>General</c:formatCode>
                <c:ptCount val="5"/>
                <c:pt idx="0">
                  <c:v>120.00000000000003</c:v>
                </c:pt>
                <c:pt idx="1">
                  <c:v>149.5</c:v>
                </c:pt>
                <c:pt idx="2">
                  <c:v>179</c:v>
                </c:pt>
                <c:pt idx="3">
                  <c:v>208.5</c:v>
                </c:pt>
                <c:pt idx="4">
                  <c:v>237.99999999999997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A9-4B60-A4BE-607661179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48480"/>
        <c:axId val="482957008"/>
      </c:scatterChart>
      <c:valAx>
        <c:axId val="482948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82957008"/>
        <c:crosses val="autoZero"/>
        <c:crossBetween val="midCat"/>
      </c:valAx>
      <c:valAx>
        <c:axId val="482957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829484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419224</xdr:colOff>
      <xdr:row>3</xdr:row>
      <xdr:rowOff>11634</xdr:rowOff>
    </xdr:from>
    <xdr:to>
      <xdr:col>16</xdr:col>
      <xdr:colOff>465877</xdr:colOff>
      <xdr:row>17</xdr:row>
      <xdr:rowOff>142264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732917</xdr:colOff>
      <xdr:row>6</xdr:row>
      <xdr:rowOff>98885</xdr:rowOff>
    </xdr:from>
    <xdr:to>
      <xdr:col>4</xdr:col>
      <xdr:colOff>250123</xdr:colOff>
      <xdr:row>19</xdr:row>
      <xdr:rowOff>110518</xdr:rowOff>
    </xdr:to>
    <xdr:cxnSp macro="">
      <xdr:nvCxnSpPr>
        <xdr:cNvPr id="3" name="Straight Arrow Connector 2"/>
        <xdr:cNvCxnSpPr/>
      </xdr:nvCxnSpPr>
      <xdr:spPr>
        <a:xfrm flipV="1">
          <a:off x="1296797" y="1196165"/>
          <a:ext cx="1711766" cy="238907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134200</xdr:colOff>
      <xdr:row>8</xdr:row>
      <xdr:rowOff>103670</xdr:rowOff>
    </xdr:from>
    <xdr:to>
      <xdr:col>16</xdr:col>
      <xdr:colOff>180854</xdr:colOff>
      <xdr:row>23</xdr:row>
      <xdr:rowOff>53978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243840</xdr:colOff>
      <xdr:row>3</xdr:row>
      <xdr:rowOff>38100</xdr:rowOff>
    </xdr:from>
    <xdr:to>
      <xdr:col>17</xdr:col>
      <xdr:colOff>198120</xdr:colOff>
      <xdr:row>25</xdr:row>
      <xdr:rowOff>22860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541020</xdr:colOff>
      <xdr:row>6</xdr:row>
      <xdr:rowOff>121920</xdr:rowOff>
    </xdr:from>
    <xdr:to>
      <xdr:col>5</xdr:col>
      <xdr:colOff>281940</xdr:colOff>
      <xdr:row>12</xdr:row>
      <xdr:rowOff>45720</xdr:rowOff>
    </xdr:to>
    <xdr:cxnSp macro="">
      <xdr:nvCxnSpPr>
        <xdr:cNvPr id="3" name="Straight Arrow Connector 2"/>
        <xdr:cNvCxnSpPr/>
      </xdr:nvCxnSpPr>
      <xdr:spPr>
        <a:xfrm flipV="1">
          <a:off x="1760220" y="1226820"/>
          <a:ext cx="1569720" cy="10363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601980</xdr:colOff>
      <xdr:row>17</xdr:row>
      <xdr:rowOff>22860</xdr:rowOff>
    </xdr:from>
    <xdr:to>
      <xdr:col>3</xdr:col>
      <xdr:colOff>22860</xdr:colOff>
      <xdr:row>19</xdr:row>
      <xdr:rowOff>137160</xdr:rowOff>
    </xdr:to>
    <xdr:cxnSp macro="">
      <xdr:nvCxnSpPr>
        <xdr:cNvPr id="4" name="Straight Arrow Connector 3"/>
        <xdr:cNvCxnSpPr/>
      </xdr:nvCxnSpPr>
      <xdr:spPr>
        <a:xfrm flipH="1" flipV="1">
          <a:off x="1211580" y="3169920"/>
          <a:ext cx="640080" cy="4876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h1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Math110 Syllabus"/>
      <sheetName val="Links_resources"/>
      <sheetName val="Linear Topics"/>
      <sheetName val="Linear Estimation"/>
      <sheetName val="Linear Trend"/>
      <sheetName val="Linear Regression"/>
      <sheetName val="Linear HW"/>
      <sheetName val="Quadratic Topics"/>
      <sheetName val="Quadratic Trend"/>
      <sheetName val="Quadratic Estimate"/>
      <sheetName val="Quadratic HW"/>
      <sheetName val="Compound Interest"/>
      <sheetName val="Annuities"/>
      <sheetName val="CarLoan"/>
      <sheetName val="HouseLoan"/>
      <sheetName val="Case Study 2"/>
      <sheetName val="LP_class"/>
      <sheetName val="LP_HW"/>
      <sheetName val="Marginal Analysis Profit"/>
      <sheetName val="Marginal Analysis Financial"/>
      <sheetName val="Optimization"/>
    </sheetNames>
    <sheetDataSet>
      <sheetData sheetId="0"/>
      <sheetData sheetId="1"/>
      <sheetData sheetId="2"/>
      <sheetData sheetId="3">
        <row r="7">
          <cell r="C7">
            <v>1</v>
          </cell>
          <cell r="D7">
            <v>130</v>
          </cell>
        </row>
        <row r="8">
          <cell r="C8">
            <v>3</v>
          </cell>
          <cell r="D8">
            <v>145</v>
          </cell>
        </row>
        <row r="9">
          <cell r="C9">
            <v>5</v>
          </cell>
          <cell r="D9">
            <v>170</v>
          </cell>
        </row>
        <row r="10">
          <cell r="C10">
            <v>7</v>
          </cell>
          <cell r="D10">
            <v>200</v>
          </cell>
        </row>
        <row r="11">
          <cell r="C11">
            <v>9</v>
          </cell>
          <cell r="D11">
            <v>250</v>
          </cell>
        </row>
      </sheetData>
      <sheetData sheetId="4">
        <row r="9">
          <cell r="C9">
            <v>1</v>
          </cell>
          <cell r="D9">
            <v>130</v>
          </cell>
        </row>
        <row r="10">
          <cell r="C10">
            <v>3</v>
          </cell>
          <cell r="D10">
            <v>145</v>
          </cell>
        </row>
        <row r="11">
          <cell r="C11">
            <v>5</v>
          </cell>
          <cell r="D11">
            <v>170</v>
          </cell>
        </row>
        <row r="12">
          <cell r="C12">
            <v>7</v>
          </cell>
          <cell r="D12">
            <v>200</v>
          </cell>
        </row>
        <row r="13">
          <cell r="C13">
            <v>9</v>
          </cell>
          <cell r="D13">
            <v>250</v>
          </cell>
        </row>
      </sheetData>
      <sheetData sheetId="5">
        <row r="25">
          <cell r="B25">
            <v>120.00000000000003</v>
          </cell>
        </row>
        <row r="26">
          <cell r="B26">
            <v>149.5</v>
          </cell>
        </row>
        <row r="27">
          <cell r="B27">
            <v>179</v>
          </cell>
        </row>
        <row r="28">
          <cell r="B28">
            <v>208.5</v>
          </cell>
        </row>
        <row r="29">
          <cell r="B29">
            <v>237.99999999999997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17"/>
  <sheetViews>
    <sheetView tabSelected="1" workbookViewId="0">
      <selection activeCell="B15" sqref="B15"/>
    </sheetView>
  </sheetViews>
  <sheetFormatPr defaultRowHeight="18" x14ac:dyDescent="0.35"/>
  <cols>
    <col min="1" max="1" width="8.88671875" style="27"/>
    <col min="2" max="2" width="50.21875" style="27" customWidth="1"/>
    <col min="3" max="3" width="8.88671875" style="27"/>
    <col min="4" max="4" width="12.6640625" style="27" customWidth="1"/>
    <col min="5" max="16384" width="8.88671875" style="27"/>
  </cols>
  <sheetData>
    <row r="1" spans="1:4" x14ac:dyDescent="0.35">
      <c r="A1" s="30" t="s">
        <v>16</v>
      </c>
    </row>
    <row r="2" spans="1:4" x14ac:dyDescent="0.35">
      <c r="A2" s="31">
        <v>1</v>
      </c>
      <c r="B2" s="32" t="s">
        <v>13</v>
      </c>
      <c r="C2" s="33" t="s">
        <v>17</v>
      </c>
      <c r="D2" s="33"/>
    </row>
    <row r="3" spans="1:4" x14ac:dyDescent="0.35">
      <c r="A3" s="34" t="s">
        <v>18</v>
      </c>
      <c r="B3" s="27" t="s">
        <v>19</v>
      </c>
    </row>
    <row r="4" spans="1:4" x14ac:dyDescent="0.35">
      <c r="A4" s="34" t="s">
        <v>20</v>
      </c>
      <c r="B4" s="27" t="s">
        <v>21</v>
      </c>
    </row>
    <row r="5" spans="1:4" x14ac:dyDescent="0.35">
      <c r="A5" s="31">
        <v>2</v>
      </c>
      <c r="B5" s="35" t="s">
        <v>22</v>
      </c>
      <c r="C5" s="33" t="s">
        <v>17</v>
      </c>
      <c r="D5" s="33"/>
    </row>
    <row r="6" spans="1:4" x14ac:dyDescent="0.35">
      <c r="A6" s="34" t="s">
        <v>18</v>
      </c>
      <c r="B6" s="27" t="s">
        <v>23</v>
      </c>
    </row>
    <row r="7" spans="1:4" x14ac:dyDescent="0.35">
      <c r="A7" s="34" t="s">
        <v>20</v>
      </c>
      <c r="B7" s="27" t="s">
        <v>24</v>
      </c>
    </row>
    <row r="8" spans="1:4" x14ac:dyDescent="0.35">
      <c r="A8" s="34" t="s">
        <v>25</v>
      </c>
      <c r="B8" s="27" t="s">
        <v>26</v>
      </c>
    </row>
    <row r="9" spans="1:4" x14ac:dyDescent="0.35">
      <c r="A9" s="34"/>
      <c r="B9" s="32" t="s">
        <v>27</v>
      </c>
    </row>
    <row r="10" spans="1:4" x14ac:dyDescent="0.35">
      <c r="A10" s="34"/>
    </row>
    <row r="11" spans="1:4" x14ac:dyDescent="0.35">
      <c r="A11" s="31">
        <v>3</v>
      </c>
      <c r="B11" s="32" t="s">
        <v>28</v>
      </c>
      <c r="C11" s="33"/>
      <c r="D11" s="33" t="s">
        <v>29</v>
      </c>
    </row>
    <row r="12" spans="1:4" x14ac:dyDescent="0.35">
      <c r="A12" s="34" t="s">
        <v>18</v>
      </c>
      <c r="B12" s="27" t="s">
        <v>30</v>
      </c>
    </row>
    <row r="13" spans="1:4" x14ac:dyDescent="0.35">
      <c r="A13" s="34" t="s">
        <v>20</v>
      </c>
      <c r="B13" s="27" t="s">
        <v>31</v>
      </c>
    </row>
    <row r="14" spans="1:4" x14ac:dyDescent="0.35">
      <c r="A14" s="34" t="s">
        <v>25</v>
      </c>
      <c r="B14" s="27" t="s">
        <v>32</v>
      </c>
    </row>
    <row r="15" spans="1:4" x14ac:dyDescent="0.35">
      <c r="A15" s="34" t="s">
        <v>33</v>
      </c>
      <c r="B15" s="27" t="s">
        <v>34</v>
      </c>
    </row>
    <row r="16" spans="1:4" x14ac:dyDescent="0.35">
      <c r="A16" s="34" t="s">
        <v>35</v>
      </c>
      <c r="B16" s="27" t="s">
        <v>36</v>
      </c>
    </row>
    <row r="17" spans="1:3" x14ac:dyDescent="0.35">
      <c r="A17" s="34"/>
      <c r="B17" s="32" t="s">
        <v>37</v>
      </c>
      <c r="C17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0"/>
  <sheetViews>
    <sheetView zoomScale="131" zoomScaleNormal="131" workbookViewId="0">
      <selection activeCell="F31" sqref="F31"/>
    </sheetView>
  </sheetViews>
  <sheetFormatPr defaultRowHeight="14.4" x14ac:dyDescent="0.3"/>
  <cols>
    <col min="1" max="1" width="8.21875" style="1" customWidth="1"/>
    <col min="2" max="2" width="12.5546875" customWidth="1"/>
    <col min="3" max="3" width="9" customWidth="1"/>
    <col min="4" max="4" width="10.44140625" customWidth="1"/>
    <col min="6" max="6" width="13" customWidth="1"/>
    <col min="7" max="7" width="17.21875" customWidth="1"/>
  </cols>
  <sheetData>
    <row r="1" spans="1:9" x14ac:dyDescent="0.3">
      <c r="A1" s="24" t="s">
        <v>84</v>
      </c>
      <c r="D1" s="2"/>
      <c r="H1" s="13" t="s">
        <v>73</v>
      </c>
    </row>
    <row r="2" spans="1:9" x14ac:dyDescent="0.3">
      <c r="B2" t="s">
        <v>70</v>
      </c>
      <c r="D2" s="2"/>
      <c r="I2" t="s">
        <v>76</v>
      </c>
    </row>
    <row r="3" spans="1:9" x14ac:dyDescent="0.3">
      <c r="B3" t="s">
        <v>71</v>
      </c>
      <c r="D3" s="2"/>
    </row>
    <row r="4" spans="1:9" x14ac:dyDescent="0.3">
      <c r="B4" t="s">
        <v>72</v>
      </c>
      <c r="D4" s="2"/>
    </row>
    <row r="5" spans="1:9" x14ac:dyDescent="0.3">
      <c r="F5" s="3"/>
    </row>
    <row r="6" spans="1:9" x14ac:dyDescent="0.3">
      <c r="B6" s="4" t="s">
        <v>0</v>
      </c>
      <c r="C6" s="5" t="s">
        <v>1</v>
      </c>
      <c r="D6" s="6" t="s">
        <v>2</v>
      </c>
      <c r="E6" s="7" t="s">
        <v>3</v>
      </c>
      <c r="F6" s="7" t="s">
        <v>4</v>
      </c>
    </row>
    <row r="7" spans="1:9" x14ac:dyDescent="0.3">
      <c r="B7" s="4"/>
      <c r="C7" s="8">
        <v>1</v>
      </c>
      <c r="D7" s="8">
        <v>130</v>
      </c>
      <c r="E7">
        <f>15*C7+115</f>
        <v>130</v>
      </c>
      <c r="F7" s="9">
        <f>(E7-D7)^2</f>
        <v>0</v>
      </c>
    </row>
    <row r="8" spans="1:9" x14ac:dyDescent="0.3">
      <c r="B8" s="4">
        <f>(D8-D7)/(C8-C7)</f>
        <v>7.5</v>
      </c>
      <c r="C8" s="8">
        <v>3</v>
      </c>
      <c r="D8" s="8">
        <v>145</v>
      </c>
      <c r="E8">
        <f>15*C8+115</f>
        <v>160</v>
      </c>
      <c r="F8" s="9">
        <f>(E8-D8)^2</f>
        <v>225</v>
      </c>
    </row>
    <row r="9" spans="1:9" x14ac:dyDescent="0.3">
      <c r="B9" s="4">
        <f>(D9-D8)/(C9-C8)</f>
        <v>12.5</v>
      </c>
      <c r="C9" s="8">
        <v>5</v>
      </c>
      <c r="D9" s="8">
        <v>170</v>
      </c>
      <c r="E9">
        <f>15*C9+115</f>
        <v>190</v>
      </c>
      <c r="F9" s="9">
        <f>(E9-D9)^2</f>
        <v>400</v>
      </c>
    </row>
    <row r="10" spans="1:9" x14ac:dyDescent="0.3">
      <c r="B10" s="4">
        <f>(D10-D9)/(C10-C9)</f>
        <v>15</v>
      </c>
      <c r="C10" s="8">
        <v>7</v>
      </c>
      <c r="D10" s="8">
        <v>200</v>
      </c>
      <c r="E10">
        <f>15*C10+115</f>
        <v>220</v>
      </c>
      <c r="F10" s="9">
        <f>(E10-D10)^2</f>
        <v>400</v>
      </c>
    </row>
    <row r="11" spans="1:9" x14ac:dyDescent="0.3">
      <c r="B11" s="4">
        <f>(D11-D10)/(C11-C10)</f>
        <v>25</v>
      </c>
      <c r="C11" s="8">
        <v>9</v>
      </c>
      <c r="D11" s="8">
        <v>250</v>
      </c>
      <c r="E11">
        <f>15*C11+115</f>
        <v>250</v>
      </c>
      <c r="F11" s="9">
        <f>(E11-D11)^2</f>
        <v>0</v>
      </c>
    </row>
    <row r="12" spans="1:9" x14ac:dyDescent="0.3">
      <c r="D12" s="2"/>
    </row>
    <row r="13" spans="1:9" x14ac:dyDescent="0.3">
      <c r="A13" s="10" t="s">
        <v>5</v>
      </c>
      <c r="B13" s="4">
        <f>AVERAGE(B8:B11)</f>
        <v>15</v>
      </c>
      <c r="F13" s="11">
        <f>SUM(F7:F11)</f>
        <v>1025</v>
      </c>
      <c r="G13" t="s">
        <v>6</v>
      </c>
    </row>
    <row r="15" spans="1:9" x14ac:dyDescent="0.3">
      <c r="B15" s="4" t="s">
        <v>7</v>
      </c>
      <c r="C15" t="s">
        <v>8</v>
      </c>
    </row>
    <row r="16" spans="1:9" x14ac:dyDescent="0.3">
      <c r="B16" t="s">
        <v>9</v>
      </c>
      <c r="C16" t="s">
        <v>10</v>
      </c>
    </row>
    <row r="17" spans="2:3" x14ac:dyDescent="0.3">
      <c r="B17" t="s">
        <v>11</v>
      </c>
      <c r="C17" t="s">
        <v>12</v>
      </c>
    </row>
    <row r="19" spans="2:3" x14ac:dyDescent="0.3">
      <c r="B19" t="s">
        <v>13</v>
      </c>
    </row>
    <row r="20" spans="2:3" x14ac:dyDescent="0.3">
      <c r="B20" s="12" t="s">
        <v>14</v>
      </c>
      <c r="C20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2"/>
  <sheetViews>
    <sheetView zoomScale="131" zoomScaleNormal="131" workbookViewId="0">
      <selection activeCell="B3" sqref="B3"/>
    </sheetView>
  </sheetViews>
  <sheetFormatPr defaultRowHeight="14.4" x14ac:dyDescent="0.3"/>
  <cols>
    <col min="1" max="1" width="6.6640625" customWidth="1"/>
    <col min="2" max="2" width="7.21875" customWidth="1"/>
    <col min="3" max="3" width="9" customWidth="1"/>
    <col min="4" max="4" width="10.44140625" customWidth="1"/>
    <col min="6" max="6" width="13" customWidth="1"/>
    <col min="7" max="7" width="17.21875" customWidth="1"/>
  </cols>
  <sheetData>
    <row r="1" spans="1:9" x14ac:dyDescent="0.3">
      <c r="A1" s="24" t="s">
        <v>79</v>
      </c>
      <c r="D1" s="2"/>
      <c r="H1" s="13" t="s">
        <v>73</v>
      </c>
    </row>
    <row r="2" spans="1:9" x14ac:dyDescent="0.3">
      <c r="B2" t="s">
        <v>77</v>
      </c>
      <c r="F2" s="3"/>
      <c r="I2" t="s">
        <v>74</v>
      </c>
    </row>
    <row r="3" spans="1:9" x14ac:dyDescent="0.3">
      <c r="B3" t="s">
        <v>78</v>
      </c>
      <c r="F3" s="3"/>
      <c r="I3" t="s">
        <v>75</v>
      </c>
    </row>
    <row r="4" spans="1:9" x14ac:dyDescent="0.3">
      <c r="B4" t="s">
        <v>80</v>
      </c>
      <c r="F4" s="3"/>
    </row>
    <row r="5" spans="1:9" x14ac:dyDescent="0.3">
      <c r="C5" t="s">
        <v>81</v>
      </c>
      <c r="F5" s="3"/>
    </row>
    <row r="6" spans="1:9" x14ac:dyDescent="0.3">
      <c r="C6" t="s">
        <v>82</v>
      </c>
      <c r="F6" s="3"/>
    </row>
    <row r="7" spans="1:9" x14ac:dyDescent="0.3">
      <c r="B7" t="s">
        <v>83</v>
      </c>
      <c r="F7" s="3"/>
    </row>
    <row r="8" spans="1:9" x14ac:dyDescent="0.3">
      <c r="B8" s="14"/>
      <c r="C8" s="5" t="s">
        <v>1</v>
      </c>
      <c r="D8" s="6" t="s">
        <v>2</v>
      </c>
      <c r="E8" s="7" t="s">
        <v>3</v>
      </c>
      <c r="F8" s="7" t="s">
        <v>4</v>
      </c>
    </row>
    <row r="9" spans="1:9" x14ac:dyDescent="0.3">
      <c r="B9" s="14"/>
      <c r="C9" s="8">
        <v>1</v>
      </c>
      <c r="D9" s="8">
        <v>130</v>
      </c>
      <c r="E9">
        <f>14.75*C9+105.25</f>
        <v>120</v>
      </c>
      <c r="F9" s="9">
        <f>(E9-D9)^2</f>
        <v>100</v>
      </c>
    </row>
    <row r="10" spans="1:9" x14ac:dyDescent="0.3">
      <c r="B10" s="14"/>
      <c r="C10" s="8">
        <v>3</v>
      </c>
      <c r="D10" s="8">
        <v>145</v>
      </c>
      <c r="E10">
        <f>14.75*C10+105.25</f>
        <v>149.5</v>
      </c>
      <c r="F10" s="9">
        <f>(E10-D10)^2</f>
        <v>20.25</v>
      </c>
    </row>
    <row r="11" spans="1:9" x14ac:dyDescent="0.3">
      <c r="B11" s="14"/>
      <c r="C11" s="8">
        <v>5</v>
      </c>
      <c r="D11" s="8">
        <v>170</v>
      </c>
      <c r="E11">
        <f>14.75*C11+105.25</f>
        <v>179</v>
      </c>
      <c r="F11" s="9">
        <f>(E11-D11)^2</f>
        <v>81</v>
      </c>
    </row>
    <row r="12" spans="1:9" x14ac:dyDescent="0.3">
      <c r="B12" s="14"/>
      <c r="C12" s="8">
        <v>7</v>
      </c>
      <c r="D12" s="8">
        <v>200</v>
      </c>
      <c r="E12">
        <f>14.75*C12+105.25</f>
        <v>208.5</v>
      </c>
      <c r="F12" s="9">
        <f>(E12-D12)^2</f>
        <v>72.25</v>
      </c>
    </row>
    <row r="13" spans="1:9" x14ac:dyDescent="0.3">
      <c r="B13" s="14"/>
      <c r="C13" s="8">
        <v>9</v>
      </c>
      <c r="D13" s="8">
        <v>250</v>
      </c>
      <c r="E13">
        <f>14.75*C13+105.25</f>
        <v>238</v>
      </c>
      <c r="F13" s="9">
        <f>(E13-D13)^2</f>
        <v>144</v>
      </c>
    </row>
    <row r="14" spans="1:9" x14ac:dyDescent="0.3">
      <c r="D14" s="2"/>
    </row>
    <row r="15" spans="1:9" x14ac:dyDescent="0.3">
      <c r="A15" s="14"/>
      <c r="B15" s="14"/>
      <c r="C15" s="14"/>
      <c r="D15" s="14"/>
      <c r="E15" s="14"/>
      <c r="F15" s="11">
        <f>SUM(F9:F13)</f>
        <v>417.5</v>
      </c>
      <c r="G15" t="s">
        <v>6</v>
      </c>
    </row>
    <row r="16" spans="1:9" x14ac:dyDescent="0.3">
      <c r="A16" s="14"/>
      <c r="B16" s="14"/>
      <c r="C16" s="14"/>
      <c r="D16" s="14"/>
      <c r="E16" s="14"/>
    </row>
    <row r="17" spans="1:7" x14ac:dyDescent="0.3">
      <c r="A17" s="14"/>
      <c r="B17" s="14"/>
      <c r="C17" s="14"/>
      <c r="D17" s="15" t="s">
        <v>38</v>
      </c>
      <c r="E17" s="15"/>
      <c r="F17" s="15" t="s">
        <v>39</v>
      </c>
      <c r="G17" s="15"/>
    </row>
    <row r="18" spans="1:7" x14ac:dyDescent="0.3">
      <c r="A18" s="14"/>
      <c r="B18" s="14"/>
      <c r="C18" s="14"/>
      <c r="D18" s="14"/>
      <c r="E18" s="14"/>
    </row>
    <row r="19" spans="1:7" x14ac:dyDescent="0.3">
      <c r="A19" s="14"/>
      <c r="B19" s="14"/>
      <c r="C19" s="14"/>
      <c r="D19" s="14"/>
      <c r="E19" s="14"/>
    </row>
    <row r="20" spans="1:7" x14ac:dyDescent="0.3">
      <c r="A20" s="14"/>
      <c r="B20" s="14"/>
      <c r="C20" s="14"/>
      <c r="D20" s="14"/>
      <c r="E20" s="14"/>
    </row>
    <row r="21" spans="1:7" x14ac:dyDescent="0.3">
      <c r="A21" s="14"/>
      <c r="B21" s="14"/>
      <c r="C21" s="14"/>
      <c r="D21" s="14"/>
      <c r="E21" s="14"/>
    </row>
    <row r="22" spans="1:7" x14ac:dyDescent="0.3">
      <c r="A22" s="14"/>
      <c r="B22" s="12"/>
      <c r="C22" s="14"/>
      <c r="D22" s="14"/>
      <c r="E22" s="1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30"/>
  <sheetViews>
    <sheetView workbookViewId="0">
      <selection activeCell="B3" sqref="B3"/>
    </sheetView>
  </sheetViews>
  <sheetFormatPr defaultRowHeight="14.4" x14ac:dyDescent="0.3"/>
  <sheetData>
    <row r="1" spans="1:9" x14ac:dyDescent="0.3">
      <c r="A1" t="s">
        <v>40</v>
      </c>
    </row>
    <row r="2" spans="1:9" ht="15" thickBot="1" x14ac:dyDescent="0.35"/>
    <row r="3" spans="1:9" x14ac:dyDescent="0.3">
      <c r="A3" s="16" t="s">
        <v>41</v>
      </c>
      <c r="B3" s="16"/>
    </row>
    <row r="4" spans="1:9" x14ac:dyDescent="0.3">
      <c r="A4" s="17" t="s">
        <v>42</v>
      </c>
      <c r="B4" s="17">
        <v>0.97684261333546984</v>
      </c>
    </row>
    <row r="5" spans="1:9" x14ac:dyDescent="0.3">
      <c r="A5" s="17" t="s">
        <v>43</v>
      </c>
      <c r="B5" s="17">
        <v>0.95422149122807021</v>
      </c>
    </row>
    <row r="6" spans="1:9" x14ac:dyDescent="0.3">
      <c r="A6" s="17" t="s">
        <v>44</v>
      </c>
      <c r="B6" s="17">
        <v>0.93896198830409361</v>
      </c>
    </row>
    <row r="7" spans="1:9" x14ac:dyDescent="0.3">
      <c r="A7" s="17" t="s">
        <v>45</v>
      </c>
      <c r="B7" s="17">
        <v>11.796892246124253</v>
      </c>
      <c r="F7" s="4" t="s">
        <v>46</v>
      </c>
    </row>
    <row r="8" spans="1:9" ht="15" thickBot="1" x14ac:dyDescent="0.35">
      <c r="A8" s="18" t="s">
        <v>47</v>
      </c>
      <c r="B8" s="18">
        <v>5</v>
      </c>
    </row>
    <row r="10" spans="1:9" ht="15" thickBot="1" x14ac:dyDescent="0.35">
      <c r="A10" t="s">
        <v>48</v>
      </c>
    </row>
    <row r="11" spans="1:9" x14ac:dyDescent="0.3">
      <c r="A11" s="19"/>
      <c r="B11" s="19" t="s">
        <v>49</v>
      </c>
      <c r="C11" s="19" t="s">
        <v>50</v>
      </c>
      <c r="D11" s="19" t="s">
        <v>51</v>
      </c>
      <c r="E11" s="19" t="s">
        <v>52</v>
      </c>
      <c r="F11" s="19" t="s">
        <v>53</v>
      </c>
    </row>
    <row r="12" spans="1:9" x14ac:dyDescent="0.3">
      <c r="A12" s="17" t="s">
        <v>54</v>
      </c>
      <c r="B12" s="17">
        <v>1</v>
      </c>
      <c r="C12" s="17">
        <v>8702.5</v>
      </c>
      <c r="D12" s="17">
        <v>8702.5</v>
      </c>
      <c r="E12" s="17">
        <v>62.532934131736596</v>
      </c>
      <c r="F12" s="17">
        <v>4.2155460621528303E-3</v>
      </c>
    </row>
    <row r="13" spans="1:9" x14ac:dyDescent="0.3">
      <c r="A13" s="17" t="s">
        <v>55</v>
      </c>
      <c r="B13" s="17">
        <v>3</v>
      </c>
      <c r="C13" s="20">
        <v>417.49999999999955</v>
      </c>
      <c r="D13" s="17">
        <v>139.16666666666652</v>
      </c>
      <c r="E13" s="17"/>
      <c r="F13" s="17"/>
    </row>
    <row r="14" spans="1:9" ht="15" thickBot="1" x14ac:dyDescent="0.35">
      <c r="A14" s="18" t="s">
        <v>56</v>
      </c>
      <c r="B14" s="18">
        <v>4</v>
      </c>
      <c r="C14" s="18">
        <v>9120</v>
      </c>
      <c r="D14" s="18"/>
      <c r="E14" s="18"/>
      <c r="F14" s="18"/>
    </row>
    <row r="15" spans="1:9" ht="15" thickBot="1" x14ac:dyDescent="0.35"/>
    <row r="16" spans="1:9" x14ac:dyDescent="0.3">
      <c r="A16" s="19"/>
      <c r="B16" s="19" t="s">
        <v>57</v>
      </c>
      <c r="C16" s="19" t="s">
        <v>45</v>
      </c>
      <c r="D16" s="19" t="s">
        <v>58</v>
      </c>
      <c r="E16" s="19" t="s">
        <v>59</v>
      </c>
      <c r="F16" s="19" t="s">
        <v>60</v>
      </c>
      <c r="G16" s="19" t="s">
        <v>61</v>
      </c>
      <c r="H16" s="19" t="s">
        <v>62</v>
      </c>
      <c r="I16" s="19" t="s">
        <v>63</v>
      </c>
    </row>
    <row r="17" spans="1:9" x14ac:dyDescent="0.3">
      <c r="A17" s="17" t="s">
        <v>64</v>
      </c>
      <c r="B17" s="21">
        <v>105.25000000000003</v>
      </c>
      <c r="C17" s="17">
        <v>10.715059495868413</v>
      </c>
      <c r="D17" s="17">
        <v>9.8226239472196166</v>
      </c>
      <c r="E17" s="17">
        <v>2.2429349951608598E-3</v>
      </c>
      <c r="F17" s="17">
        <v>71.149898496478471</v>
      </c>
      <c r="G17" s="17">
        <v>139.35010150352159</v>
      </c>
      <c r="H17" s="17">
        <v>71.149898496478471</v>
      </c>
      <c r="I17" s="17">
        <v>139.35010150352159</v>
      </c>
    </row>
    <row r="18" spans="1:9" ht="15" thickBot="1" x14ac:dyDescent="0.35">
      <c r="A18" s="18" t="s">
        <v>1</v>
      </c>
      <c r="B18" s="22">
        <v>14.749999999999995</v>
      </c>
      <c r="C18" s="18">
        <v>1.8652524404666149</v>
      </c>
      <c r="D18" s="18">
        <v>7.9077768134752358</v>
      </c>
      <c r="E18" s="18">
        <v>4.2155460621528338E-3</v>
      </c>
      <c r="F18" s="18">
        <v>8.8139342624155947</v>
      </c>
      <c r="G18" s="18">
        <v>20.686065737584393</v>
      </c>
      <c r="H18" s="18">
        <v>8.8139342624155947</v>
      </c>
      <c r="I18" s="18">
        <v>20.686065737584393</v>
      </c>
    </row>
    <row r="20" spans="1:9" x14ac:dyDescent="0.3">
      <c r="B20" s="15" t="s">
        <v>38</v>
      </c>
      <c r="C20" s="15"/>
      <c r="D20" s="15" t="s">
        <v>39</v>
      </c>
      <c r="E20" s="15"/>
    </row>
    <row r="22" spans="1:9" x14ac:dyDescent="0.3">
      <c r="A22" t="s">
        <v>65</v>
      </c>
    </row>
    <row r="23" spans="1:9" ht="15" thickBot="1" x14ac:dyDescent="0.35"/>
    <row r="24" spans="1:9" x14ac:dyDescent="0.3">
      <c r="A24" s="19" t="s">
        <v>66</v>
      </c>
      <c r="B24" s="19" t="s">
        <v>67</v>
      </c>
      <c r="C24" s="19" t="s">
        <v>68</v>
      </c>
      <c r="D24" s="23" t="s">
        <v>69</v>
      </c>
    </row>
    <row r="25" spans="1:9" x14ac:dyDescent="0.3">
      <c r="A25" s="17">
        <v>1</v>
      </c>
      <c r="B25" s="17">
        <v>120.00000000000003</v>
      </c>
      <c r="C25" s="17">
        <v>9.9999999999999716</v>
      </c>
      <c r="D25" s="4">
        <f>C25^2</f>
        <v>99.999999999999432</v>
      </c>
    </row>
    <row r="26" spans="1:9" x14ac:dyDescent="0.3">
      <c r="A26" s="17">
        <v>2</v>
      </c>
      <c r="B26" s="17">
        <v>149.5</v>
      </c>
      <c r="C26" s="17">
        <v>-4.5</v>
      </c>
      <c r="D26" s="4">
        <f>C26^2</f>
        <v>20.25</v>
      </c>
    </row>
    <row r="27" spans="1:9" x14ac:dyDescent="0.3">
      <c r="A27" s="17">
        <v>3</v>
      </c>
      <c r="B27" s="17">
        <v>179</v>
      </c>
      <c r="C27" s="17">
        <v>-9</v>
      </c>
      <c r="D27" s="4">
        <f>C27^2</f>
        <v>81</v>
      </c>
    </row>
    <row r="28" spans="1:9" x14ac:dyDescent="0.3">
      <c r="A28" s="17">
        <v>4</v>
      </c>
      <c r="B28" s="17">
        <v>208.5</v>
      </c>
      <c r="C28" s="17">
        <v>-8.5</v>
      </c>
      <c r="D28" s="4">
        <f>C28^2</f>
        <v>72.25</v>
      </c>
    </row>
    <row r="29" spans="1:9" ht="15" thickBot="1" x14ac:dyDescent="0.35">
      <c r="A29" s="18">
        <v>5</v>
      </c>
      <c r="B29" s="18">
        <v>237.99999999999997</v>
      </c>
      <c r="C29" s="18">
        <v>12.000000000000028</v>
      </c>
      <c r="D29" s="4">
        <f>C29^2</f>
        <v>144.00000000000068</v>
      </c>
    </row>
    <row r="30" spans="1:9" x14ac:dyDescent="0.3">
      <c r="D30" s="15">
        <f>SUM(D25:D29)</f>
        <v>417.50000000000011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C3:I21"/>
  <sheetViews>
    <sheetView workbookViewId="0">
      <selection activeCell="B3" sqref="B3"/>
    </sheetView>
  </sheetViews>
  <sheetFormatPr defaultRowHeight="18" x14ac:dyDescent="0.35"/>
  <cols>
    <col min="1" max="16384" width="8.88671875" style="27"/>
  </cols>
  <sheetData>
    <row r="3" spans="3:6" x14ac:dyDescent="0.35">
      <c r="C3" s="25" t="s">
        <v>1</v>
      </c>
      <c r="D3" s="26" t="s">
        <v>2</v>
      </c>
      <c r="F3" s="27" t="s">
        <v>85</v>
      </c>
    </row>
    <row r="4" spans="3:6" x14ac:dyDescent="0.35">
      <c r="C4" s="28">
        <v>2</v>
      </c>
      <c r="D4" s="28">
        <v>220</v>
      </c>
      <c r="F4" s="27" t="s">
        <v>86</v>
      </c>
    </row>
    <row r="5" spans="3:6" x14ac:dyDescent="0.35">
      <c r="C5" s="28">
        <v>4</v>
      </c>
      <c r="D5" s="28">
        <v>240</v>
      </c>
      <c r="F5" s="27" t="s">
        <v>87</v>
      </c>
    </row>
    <row r="6" spans="3:6" x14ac:dyDescent="0.35">
      <c r="C6" s="28">
        <v>6</v>
      </c>
      <c r="D6" s="28">
        <v>270</v>
      </c>
    </row>
    <row r="7" spans="3:6" x14ac:dyDescent="0.35">
      <c r="C7" s="28">
        <v>8</v>
      </c>
      <c r="D7" s="28">
        <v>300</v>
      </c>
      <c r="F7" s="27" t="s">
        <v>88</v>
      </c>
    </row>
    <row r="8" spans="3:6" x14ac:dyDescent="0.35">
      <c r="C8" s="28">
        <v>10</v>
      </c>
      <c r="D8" s="28">
        <v>250</v>
      </c>
      <c r="F8" s="27" t="s">
        <v>89</v>
      </c>
    </row>
    <row r="9" spans="3:6" x14ac:dyDescent="0.35">
      <c r="C9" s="28">
        <v>14</v>
      </c>
      <c r="D9" s="28">
        <v>300</v>
      </c>
    </row>
    <row r="21" spans="9:9" x14ac:dyDescent="0.35">
      <c r="I21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Linear Topics</vt:lpstr>
      <vt:lpstr>Linear Estimation</vt:lpstr>
      <vt:lpstr>Linear Trend</vt:lpstr>
      <vt:lpstr>Linear Regression</vt:lpstr>
      <vt:lpstr>Linear HW</vt:lpstr>
    </vt:vector>
  </TitlesOfParts>
  <Company>Bryant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2023-08-27T18:59:52Z</dcterms:created>
  <dcterms:modified xsi:type="dcterms:W3CDTF">2023-08-28T13:28:11Z</dcterms:modified>
</cp:coreProperties>
</file>