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bishop\Desktop\Old Laptop\Math110\"/>
    </mc:Choice>
  </mc:AlternateContent>
  <bookViews>
    <workbookView xWindow="0" yWindow="0" windowWidth="23040" windowHeight="7812"/>
  </bookViews>
  <sheets>
    <sheet name="Marginal Analysis Profit" sheetId="1" r:id="rId1"/>
    <sheet name="Marginal Analysis Financial" sheetId="2" r:id="rId2"/>
  </sheets>
  <definedNames>
    <definedName name="solver_adj" localSheetId="0" hidden="1">'Marginal Analysis Profit'!$C$24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'Marginal Analysis Profit'!$C$18</definedName>
    <definedName name="solver_lhs2" localSheetId="0" hidden="1">'Marginal Analysis Profit'!$C$18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'Marginal Analysis Profit'!$C$25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hs1" localSheetId="0" hidden="1">0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2" l="1"/>
  <c r="B26" i="2"/>
  <c r="B27" i="2" s="1"/>
  <c r="B28" i="2" s="1"/>
  <c r="B29" i="2" s="1"/>
  <c r="B30" i="2" s="1"/>
  <c r="B24" i="2"/>
  <c r="B7" i="2"/>
  <c r="E13" i="2" s="1"/>
  <c r="C25" i="1"/>
  <c r="J22" i="1"/>
  <c r="L21" i="1"/>
  <c r="J20" i="1"/>
  <c r="H15" i="1"/>
  <c r="G15" i="1"/>
  <c r="B9" i="2" l="1"/>
  <c r="B10" i="2" s="1"/>
  <c r="B11" i="2" s="1"/>
  <c r="B12" i="2" s="1"/>
  <c r="B13" i="2" s="1"/>
  <c r="G40" i="2" l="1"/>
  <c r="H41" i="2" s="1"/>
  <c r="G45" i="2"/>
  <c r="H46" i="2" s="1"/>
  <c r="G35" i="2"/>
  <c r="H36" i="2" s="1"/>
</calcChain>
</file>

<file path=xl/sharedStrings.xml><?xml version="1.0" encoding="utf-8"?>
<sst xmlns="http://schemas.openxmlformats.org/spreadsheetml/2006/main" count="129" uniqueCount="91">
  <si>
    <t>Quadratic coefficients</t>
  </si>
  <si>
    <t>a</t>
  </si>
  <si>
    <t>b</t>
  </si>
  <si>
    <t>c</t>
  </si>
  <si>
    <t>x = # units</t>
  </si>
  <si>
    <t xml:space="preserve">Cost </t>
  </si>
  <si>
    <t>10x + 500</t>
  </si>
  <si>
    <t>$10 per unit</t>
  </si>
  <si>
    <t>$500 fixed cost</t>
  </si>
  <si>
    <t>Revenue</t>
  </si>
  <si>
    <t>price*x</t>
  </si>
  <si>
    <t>ALWAYS!</t>
  </si>
  <si>
    <t>price = 5100 - x</t>
  </si>
  <si>
    <t>given</t>
  </si>
  <si>
    <t>(5100-x)*x</t>
  </si>
  <si>
    <t>together</t>
  </si>
  <si>
    <t xml:space="preserve">Profit = </t>
  </si>
  <si>
    <t>Revenue - Cost</t>
  </si>
  <si>
    <t>-x^2 + 100x -10x - 500</t>
  </si>
  <si>
    <t>Profit Equation</t>
  </si>
  <si>
    <t>x=45</t>
  </si>
  <si>
    <t>sell 45 units</t>
  </si>
  <si>
    <t>-x^2 + 90X - 500</t>
  </si>
  <si>
    <t>make $1,525 profit</t>
  </si>
  <si>
    <t xml:space="preserve">You copy the information to the left and solve </t>
  </si>
  <si>
    <t>x=46</t>
  </si>
  <si>
    <t>sell 46 units</t>
  </si>
  <si>
    <t>Get the x value that gives the greatest profit</t>
  </si>
  <si>
    <t>make $1,524 profit</t>
  </si>
  <si>
    <t>Solution</t>
  </si>
  <si>
    <t>slope</t>
  </si>
  <si>
    <t>=change in profit</t>
  </si>
  <si>
    <t>-2x+90</t>
  </si>
  <si>
    <t>=0</t>
  </si>
  <si>
    <t>derivative = 0</t>
  </si>
  <si>
    <t>divide</t>
  </si>
  <si>
    <t>lose $1 when selling one more unit</t>
  </si>
  <si>
    <t>x =</t>
  </si>
  <si>
    <t>solve</t>
  </si>
  <si>
    <t>change in #units</t>
  </si>
  <si>
    <t>x</t>
  </si>
  <si>
    <t>formula</t>
  </si>
  <si>
    <t>Credit Card Balance at 12% APR</t>
  </si>
  <si>
    <t>Buy $1,000 phone on your credit card at 12% compounded monthly</t>
  </si>
  <si>
    <t>Present Value (PV)</t>
  </si>
  <si>
    <t>PV</t>
  </si>
  <si>
    <t xml:space="preserve">Interest APR </t>
  </si>
  <si>
    <t xml:space="preserve">   r</t>
  </si>
  <si>
    <t>(Annual Percentage Rate)</t>
  </si>
  <si>
    <t>Interest per month</t>
  </si>
  <si>
    <t xml:space="preserve">   i</t>
  </si>
  <si>
    <t>compound at 1% per month</t>
  </si>
  <si>
    <t>After 1 month</t>
  </si>
  <si>
    <t>=PV*(1+i)</t>
  </si>
  <si>
    <t>After 2 months</t>
  </si>
  <si>
    <t>=PV*(1+i)*(1+i)</t>
  </si>
  <si>
    <t>After 3 months</t>
  </si>
  <si>
    <t>=PV*(1+i)*(1+i)*(1+i)</t>
  </si>
  <si>
    <t>….</t>
  </si>
  <si>
    <t>After 4 months</t>
  </si>
  <si>
    <t>After 5 months</t>
  </si>
  <si>
    <r>
      <t>=PV*(1+i)</t>
    </r>
    <r>
      <rPr>
        <vertAlign val="superscript"/>
        <sz val="14"/>
        <color theme="1"/>
        <rFont val="Calibri"/>
        <family val="2"/>
        <scheme val="minor"/>
      </rPr>
      <t>5</t>
    </r>
  </si>
  <si>
    <t>OR</t>
  </si>
  <si>
    <r>
      <t>FV=PV*(1+i)</t>
    </r>
    <r>
      <rPr>
        <b/>
        <vertAlign val="superscript"/>
        <sz val="14"/>
        <color theme="1"/>
        <rFont val="Calibri"/>
        <family val="2"/>
        <scheme val="minor"/>
      </rPr>
      <t>5</t>
    </r>
  </si>
  <si>
    <t>4 variables - FV,PV,i, n=5 months</t>
  </si>
  <si>
    <t>compound interest formula</t>
  </si>
  <si>
    <t>if n is the unknown then we have an exponential equation</t>
  </si>
  <si>
    <t>Credit Card Balance at 13% APR</t>
  </si>
  <si>
    <t>Buy $1,000 phone on your credit card at 13% compounded monthly</t>
  </si>
  <si>
    <t>compound at 1.08% per month</t>
  </si>
  <si>
    <t>Slope is marginal analysis</t>
  </si>
  <si>
    <t>change in y</t>
  </si>
  <si>
    <t>difference in FV values between 12% and 13%</t>
  </si>
  <si>
    <t>divide by</t>
  </si>
  <si>
    <t>change in x</t>
  </si>
  <si>
    <t>13% - 12%</t>
  </si>
  <si>
    <t>$86.72 difference in future money when interest rate goes up by 1%</t>
  </si>
  <si>
    <t>difference in FV values between 12% and 12.1%</t>
  </si>
  <si>
    <t>12.1% - 12%</t>
  </si>
  <si>
    <t>$8.99 difference in future money when interest rate goes up by .1%</t>
  </si>
  <si>
    <t>difference in FV values between 12% and 12.01%</t>
  </si>
  <si>
    <t>12.01% - 12%</t>
  </si>
  <si>
    <t>$.99 difference in future money when interest rate goes up by .01%</t>
  </si>
  <si>
    <t>Derivative is about $433.60</t>
  </si>
  <si>
    <t>THEORY</t>
  </si>
  <si>
    <t>FV = PV*(1+r/12)^5</t>
  </si>
  <si>
    <t>y = 1000*(1+r/12)^5</t>
  </si>
  <si>
    <t>derivative</t>
  </si>
  <si>
    <t>=5000(1+r/12)^4 * (1/12)</t>
  </si>
  <si>
    <t xml:space="preserve">    plug in r=.12 or i=.01</t>
  </si>
  <si>
    <t>=5000(1.01)^4 * (1/12)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</si>
</sst>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0" applyFont="1" applyFill="1"/>
    <xf numFmtId="0" fontId="3" fillId="0" borderId="0" xfId="0" applyFont="1" applyFill="1"/>
    <xf numFmtId="0" fontId="3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Border="1"/>
    <xf numFmtId="0" fontId="3" fillId="2" borderId="0" xfId="0" quotePrefix="1" applyFont="1" applyFill="1" applyBorder="1"/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quotePrefix="1" applyFont="1" applyFill="1"/>
    <xf numFmtId="0" fontId="3" fillId="3" borderId="0" xfId="0" quotePrefix="1" applyFont="1" applyFill="1"/>
    <xf numFmtId="0" fontId="3" fillId="0" borderId="0" xfId="0" quotePrefix="1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2" fillId="0" borderId="0" xfId="0" applyFont="1"/>
    <xf numFmtId="9" fontId="3" fillId="0" borderId="0" xfId="3" applyFont="1"/>
    <xf numFmtId="44" fontId="3" fillId="0" borderId="0" xfId="2" applyFont="1"/>
    <xf numFmtId="44" fontId="3" fillId="2" borderId="0" xfId="2" applyNumberFormat="1" applyFont="1" applyFill="1"/>
    <xf numFmtId="44" fontId="3" fillId="2" borderId="0" xfId="2" applyFont="1" applyFill="1"/>
    <xf numFmtId="0" fontId="2" fillId="4" borderId="0" xfId="0" quotePrefix="1" applyFont="1" applyFill="1"/>
    <xf numFmtId="0" fontId="2" fillId="4" borderId="0" xfId="0" applyFont="1" applyFill="1"/>
    <xf numFmtId="0" fontId="3" fillId="5" borderId="0" xfId="0" applyFont="1" applyFill="1"/>
    <xf numFmtId="10" fontId="3" fillId="0" borderId="0" xfId="3" applyNumberFormat="1" applyFont="1"/>
    <xf numFmtId="44" fontId="3" fillId="3" borderId="0" xfId="0" applyNumberFormat="1" applyFont="1" applyFill="1"/>
    <xf numFmtId="43" fontId="3" fillId="3" borderId="0" xfId="1" applyFont="1" applyFill="1"/>
    <xf numFmtId="0" fontId="3" fillId="3" borderId="0" xfId="0" applyFont="1" applyFill="1" applyAlignment="1">
      <alignment wrapText="1"/>
    </xf>
    <xf numFmtId="44" fontId="3" fillId="4" borderId="0" xfId="2" applyFont="1" applyFill="1"/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4" fontId="3" fillId="0" borderId="0" xfId="0" applyNumberFormat="1" applyFont="1"/>
    <xf numFmtId="43" fontId="3" fillId="4" borderId="0" xfId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14</xdr:row>
      <xdr:rowOff>129540</xdr:rowOff>
    </xdr:from>
    <xdr:to>
      <xdr:col>6</xdr:col>
      <xdr:colOff>129540</xdr:colOff>
      <xdr:row>14</xdr:row>
      <xdr:rowOff>137160</xdr:rowOff>
    </xdr:to>
    <xdr:cxnSp macro="">
      <xdr:nvCxnSpPr>
        <xdr:cNvPr id="2" name="Straight Arrow Connector 1"/>
        <xdr:cNvCxnSpPr/>
      </xdr:nvCxnSpPr>
      <xdr:spPr>
        <a:xfrm>
          <a:off x="3078480" y="3329940"/>
          <a:ext cx="1600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>
      <selection activeCell="F9" sqref="F9"/>
    </sheetView>
  </sheetViews>
  <sheetFormatPr defaultRowHeight="18" x14ac:dyDescent="0.35"/>
  <cols>
    <col min="1" max="1" width="8.88671875" style="16"/>
    <col min="2" max="2" width="11.33203125" style="3" customWidth="1"/>
    <col min="3" max="3" width="8.88671875" style="3"/>
    <col min="4" max="4" width="9.88671875" style="3" customWidth="1"/>
    <col min="5" max="5" width="18.44140625" style="3" customWidth="1"/>
    <col min="6" max="6" width="8.88671875" style="3"/>
    <col min="7" max="7" width="21.5546875" style="3" customWidth="1"/>
    <col min="8" max="8" width="18.6640625" style="3" customWidth="1"/>
    <col min="9" max="16384" width="8.88671875" style="3"/>
  </cols>
  <sheetData>
    <row r="1" spans="2:17" x14ac:dyDescent="0.35">
      <c r="B1" s="1" t="s">
        <v>0</v>
      </c>
      <c r="C1" s="1"/>
      <c r="D1" s="1"/>
      <c r="E1" s="2"/>
    </row>
    <row r="2" spans="2:17" x14ac:dyDescent="0.35">
      <c r="B2" s="4" t="s">
        <v>1</v>
      </c>
      <c r="C2" s="4" t="s">
        <v>2</v>
      </c>
      <c r="D2" s="4" t="s">
        <v>3</v>
      </c>
    </row>
    <row r="3" spans="2:17" x14ac:dyDescent="0.35">
      <c r="B3" s="4">
        <v>-1</v>
      </c>
      <c r="C3" s="4">
        <v>90</v>
      </c>
      <c r="D3" s="4">
        <v>-500</v>
      </c>
    </row>
    <row r="5" spans="2:17" x14ac:dyDescent="0.35">
      <c r="B5" s="5"/>
      <c r="C5" s="5"/>
      <c r="D5" s="5"/>
      <c r="E5" s="5" t="s">
        <v>4</v>
      </c>
    </row>
    <row r="6" spans="2:17" x14ac:dyDescent="0.35">
      <c r="B6" s="6" t="s">
        <v>5</v>
      </c>
      <c r="C6" s="6" t="s">
        <v>6</v>
      </c>
      <c r="D6" s="6"/>
      <c r="E6" s="6" t="s">
        <v>7</v>
      </c>
    </row>
    <row r="7" spans="2:17" x14ac:dyDescent="0.35">
      <c r="B7" s="5"/>
      <c r="C7" s="5"/>
      <c r="D7" s="5"/>
      <c r="E7" s="6" t="s">
        <v>8</v>
      </c>
    </row>
    <row r="8" spans="2:17" x14ac:dyDescent="0.35">
      <c r="B8" s="5"/>
      <c r="C8" s="5"/>
      <c r="D8" s="5"/>
      <c r="E8" s="6"/>
    </row>
    <row r="9" spans="2:17" x14ac:dyDescent="0.35">
      <c r="B9" s="6" t="s">
        <v>9</v>
      </c>
      <c r="C9" s="6" t="s">
        <v>10</v>
      </c>
      <c r="D9" s="6"/>
      <c r="E9" s="6" t="s">
        <v>11</v>
      </c>
    </row>
    <row r="10" spans="2:17" x14ac:dyDescent="0.35">
      <c r="B10" s="6"/>
      <c r="C10" s="6" t="s">
        <v>12</v>
      </c>
      <c r="D10" s="6"/>
      <c r="E10" s="6" t="s">
        <v>13</v>
      </c>
    </row>
    <row r="11" spans="2:17" x14ac:dyDescent="0.35">
      <c r="B11" s="6" t="s">
        <v>9</v>
      </c>
      <c r="C11" s="6" t="s">
        <v>14</v>
      </c>
      <c r="D11" s="6"/>
      <c r="E11" s="6" t="s">
        <v>15</v>
      </c>
    </row>
    <row r="12" spans="2:17" x14ac:dyDescent="0.35">
      <c r="B12" s="6"/>
      <c r="C12" s="6"/>
      <c r="D12" s="6"/>
      <c r="E12" s="6"/>
    </row>
    <row r="13" spans="2:17" x14ac:dyDescent="0.35">
      <c r="B13" s="6" t="s">
        <v>16</v>
      </c>
      <c r="C13" s="6" t="s">
        <v>17</v>
      </c>
      <c r="D13" s="6"/>
      <c r="E13" s="6" t="s">
        <v>11</v>
      </c>
    </row>
    <row r="14" spans="2:17" x14ac:dyDescent="0.35">
      <c r="B14" s="6" t="s">
        <v>16</v>
      </c>
      <c r="C14" s="7" t="s">
        <v>18</v>
      </c>
      <c r="D14" s="6"/>
      <c r="E14" s="5"/>
      <c r="G14" s="8" t="s">
        <v>19</v>
      </c>
      <c r="H14" s="9" t="s">
        <v>20</v>
      </c>
      <c r="I14" s="9" t="s">
        <v>21</v>
      </c>
      <c r="J14" s="9"/>
      <c r="K14" s="9"/>
      <c r="L14" s="9"/>
      <c r="M14" s="9"/>
      <c r="N14" s="9"/>
      <c r="O14" s="9"/>
      <c r="P14" s="9"/>
      <c r="Q14" s="9"/>
    </row>
    <row r="15" spans="2:17" x14ac:dyDescent="0.35">
      <c r="B15" s="6" t="s">
        <v>16</v>
      </c>
      <c r="C15" s="7" t="s">
        <v>22</v>
      </c>
      <c r="D15" s="6"/>
      <c r="E15" s="5"/>
      <c r="G15" s="8" t="str">
        <f>C15</f>
        <v>-x^2 + 90X - 500</v>
      </c>
      <c r="H15" s="10">
        <f>C25</f>
        <v>1525.0000000000002</v>
      </c>
      <c r="I15" s="9" t="s">
        <v>23</v>
      </c>
      <c r="J15" s="9"/>
      <c r="K15" s="9"/>
      <c r="L15" s="9"/>
      <c r="M15" s="9"/>
      <c r="N15" s="9"/>
      <c r="O15" s="9"/>
      <c r="P15" s="9"/>
      <c r="Q15" s="9"/>
    </row>
    <row r="16" spans="2:17" x14ac:dyDescent="0.35">
      <c r="B16" s="2"/>
      <c r="C16" s="2"/>
      <c r="D16" s="2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 x14ac:dyDescent="0.35">
      <c r="B17" s="11" t="s">
        <v>24</v>
      </c>
      <c r="C17" s="11"/>
      <c r="D17" s="11"/>
      <c r="E17" s="11"/>
      <c r="G17" s="9"/>
      <c r="H17" s="9" t="s">
        <v>25</v>
      </c>
      <c r="I17" s="9" t="s">
        <v>26</v>
      </c>
      <c r="J17" s="9"/>
      <c r="K17" s="9"/>
      <c r="L17" s="9"/>
      <c r="M17" s="9"/>
      <c r="N17" s="9"/>
      <c r="O17" s="9"/>
      <c r="P17" s="9"/>
      <c r="Q17" s="9"/>
    </row>
    <row r="18" spans="2:17" x14ac:dyDescent="0.35">
      <c r="B18" s="11" t="s">
        <v>27</v>
      </c>
      <c r="C18" s="11"/>
      <c r="D18" s="12"/>
      <c r="E18" s="11"/>
      <c r="G18" s="9"/>
      <c r="H18" s="10">
        <v>1524</v>
      </c>
      <c r="I18" s="9" t="s">
        <v>28</v>
      </c>
      <c r="J18" s="9"/>
      <c r="K18" s="9"/>
      <c r="L18" s="9"/>
      <c r="M18" s="9"/>
      <c r="N18" s="9"/>
      <c r="O18" s="9"/>
      <c r="P18" s="9"/>
      <c r="Q18" s="9"/>
    </row>
    <row r="19" spans="2:17" x14ac:dyDescent="0.35">
      <c r="B19" s="2"/>
      <c r="C19" s="2"/>
      <c r="D19" s="2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35">
      <c r="B20" s="8" t="s">
        <v>29</v>
      </c>
      <c r="G20" s="9" t="s">
        <v>30</v>
      </c>
      <c r="H20" s="13" t="s">
        <v>31</v>
      </c>
      <c r="I20" s="9"/>
      <c r="J20" s="9">
        <f>H18-H15</f>
        <v>-1.0000000000002274</v>
      </c>
      <c r="K20" s="9"/>
      <c r="L20" s="9"/>
      <c r="M20" s="9"/>
      <c r="N20" s="9"/>
      <c r="O20" s="9"/>
      <c r="P20" s="9"/>
      <c r="Q20" s="9"/>
    </row>
    <row r="21" spans="2:17" x14ac:dyDescent="0.35">
      <c r="B21" s="14" t="s">
        <v>32</v>
      </c>
      <c r="C21" s="14" t="s">
        <v>33</v>
      </c>
      <c r="D21" s="3" t="s">
        <v>34</v>
      </c>
      <c r="G21" s="9"/>
      <c r="H21" s="9" t="s">
        <v>35</v>
      </c>
      <c r="I21" s="9"/>
      <c r="J21" s="9" t="s">
        <v>35</v>
      </c>
      <c r="K21" s="9"/>
      <c r="L21" s="9">
        <f>-1</f>
        <v>-1</v>
      </c>
      <c r="M21" s="9" t="s">
        <v>36</v>
      </c>
      <c r="N21" s="9"/>
      <c r="O21" s="9"/>
      <c r="P21" s="9"/>
      <c r="Q21" s="9"/>
    </row>
    <row r="22" spans="2:17" x14ac:dyDescent="0.35">
      <c r="B22" s="15" t="s">
        <v>37</v>
      </c>
      <c r="C22" s="3">
        <v>45</v>
      </c>
      <c r="D22" s="3" t="s">
        <v>38</v>
      </c>
      <c r="G22" s="9"/>
      <c r="H22" s="9" t="s">
        <v>39</v>
      </c>
      <c r="I22" s="9"/>
      <c r="J22" s="9">
        <f>46-45</f>
        <v>1</v>
      </c>
      <c r="K22" s="9"/>
      <c r="L22" s="9"/>
      <c r="M22" s="9"/>
      <c r="N22" s="9"/>
      <c r="O22" s="9"/>
      <c r="P22" s="9"/>
      <c r="Q22" s="9"/>
    </row>
    <row r="23" spans="2:17" x14ac:dyDescent="0.35"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 x14ac:dyDescent="0.35">
      <c r="B24" s="3" t="s">
        <v>40</v>
      </c>
      <c r="C24" s="3">
        <v>44.99999995971973</v>
      </c>
    </row>
    <row r="25" spans="2:17" x14ac:dyDescent="0.35">
      <c r="B25" s="3" t="s">
        <v>41</v>
      </c>
      <c r="C25" s="3">
        <f>-(C24^2)+90*C24-500</f>
        <v>1525.0000000000002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zoomScale="107" zoomScaleNormal="107" workbookViewId="0">
      <selection activeCell="G25" sqref="G25"/>
    </sheetView>
  </sheetViews>
  <sheetFormatPr defaultColWidth="15.33203125" defaultRowHeight="18" x14ac:dyDescent="0.35"/>
  <cols>
    <col min="1" max="1" width="35.77734375" style="3" customWidth="1"/>
    <col min="2" max="2" width="17.6640625" style="3" bestFit="1" customWidth="1"/>
    <col min="3" max="3" width="19.109375" style="3" customWidth="1"/>
    <col min="4" max="7" width="15.33203125" style="3"/>
    <col min="8" max="8" width="23.44140625" style="3" customWidth="1"/>
    <col min="9" max="16384" width="15.33203125" style="3"/>
  </cols>
  <sheetData>
    <row r="1" spans="1:8" s="3" customFormat="1" x14ac:dyDescent="0.35">
      <c r="A1" s="1" t="s">
        <v>42</v>
      </c>
    </row>
    <row r="2" spans="1:8" s="3" customFormat="1" x14ac:dyDescent="0.35">
      <c r="A2" s="17"/>
    </row>
    <row r="3" spans="1:8" s="3" customFormat="1" x14ac:dyDescent="0.35">
      <c r="A3" s="17" t="s">
        <v>43</v>
      </c>
    </row>
    <row r="5" spans="1:8" s="3" customFormat="1" x14ac:dyDescent="0.35">
      <c r="A5" s="3" t="s">
        <v>44</v>
      </c>
      <c r="B5" s="3">
        <v>1000</v>
      </c>
      <c r="C5" s="3" t="s">
        <v>45</v>
      </c>
    </row>
    <row r="6" spans="1:8" s="3" customFormat="1" x14ac:dyDescent="0.35">
      <c r="A6" s="3" t="s">
        <v>46</v>
      </c>
      <c r="B6" s="18">
        <v>0.12</v>
      </c>
      <c r="C6" s="3" t="s">
        <v>47</v>
      </c>
      <c r="D6" s="3" t="s">
        <v>48</v>
      </c>
    </row>
    <row r="7" spans="1:8" s="3" customFormat="1" x14ac:dyDescent="0.35">
      <c r="A7" s="3" t="s">
        <v>49</v>
      </c>
      <c r="B7" s="18">
        <f>B6/12</f>
        <v>0.01</v>
      </c>
      <c r="C7" s="3" t="s">
        <v>50</v>
      </c>
      <c r="D7" s="3" t="s">
        <v>51</v>
      </c>
    </row>
    <row r="9" spans="1:8" s="3" customFormat="1" x14ac:dyDescent="0.35">
      <c r="A9" s="3" t="s">
        <v>52</v>
      </c>
      <c r="B9" s="19">
        <f>B5*(1+B7)</f>
        <v>1010</v>
      </c>
      <c r="C9" s="14" t="s">
        <v>53</v>
      </c>
    </row>
    <row r="10" spans="1:8" s="3" customFormat="1" x14ac:dyDescent="0.35">
      <c r="A10" s="3" t="s">
        <v>54</v>
      </c>
      <c r="B10" s="19">
        <f>B9*(1+$B$7)</f>
        <v>1020.1</v>
      </c>
      <c r="C10" s="14" t="s">
        <v>55</v>
      </c>
    </row>
    <row r="11" spans="1:8" s="3" customFormat="1" x14ac:dyDescent="0.35">
      <c r="A11" s="3" t="s">
        <v>56</v>
      </c>
      <c r="B11" s="19">
        <f t="shared" ref="B11:B13" si="0">B10*(1+$B$7)</f>
        <v>1030.3009999999999</v>
      </c>
      <c r="C11" s="14" t="s">
        <v>57</v>
      </c>
      <c r="E11" s="3" t="s">
        <v>58</v>
      </c>
    </row>
    <row r="12" spans="1:8" s="3" customFormat="1" x14ac:dyDescent="0.35">
      <c r="A12" s="3" t="s">
        <v>59</v>
      </c>
      <c r="B12" s="19">
        <f t="shared" si="0"/>
        <v>1040.60401</v>
      </c>
    </row>
    <row r="13" spans="1:8" s="3" customFormat="1" ht="19.8" x14ac:dyDescent="0.35">
      <c r="A13" s="3" t="s">
        <v>60</v>
      </c>
      <c r="B13" s="20">
        <f t="shared" si="0"/>
        <v>1051.0100500999999</v>
      </c>
      <c r="C13" s="14" t="s">
        <v>61</v>
      </c>
      <c r="D13" s="17" t="s">
        <v>62</v>
      </c>
      <c r="E13" s="21">
        <f>1000*(1+B7)^5</f>
        <v>1051.0100500999999</v>
      </c>
      <c r="F13" s="5" t="s">
        <v>41</v>
      </c>
    </row>
    <row r="15" spans="1:8" s="3" customFormat="1" ht="19.8" x14ac:dyDescent="0.35">
      <c r="B15" s="22" t="s">
        <v>63</v>
      </c>
      <c r="C15" s="23" t="s">
        <v>64</v>
      </c>
      <c r="D15" s="23"/>
      <c r="E15" s="23"/>
      <c r="F15" s="23" t="s">
        <v>65</v>
      </c>
      <c r="G15" s="11"/>
      <c r="H15" s="11"/>
    </row>
    <row r="16" spans="1:8" s="3" customFormat="1" x14ac:dyDescent="0.35">
      <c r="C16" s="24" t="s">
        <v>66</v>
      </c>
      <c r="D16" s="24"/>
      <c r="E16" s="24"/>
      <c r="F16" s="24"/>
      <c r="G16" s="24"/>
      <c r="H16" s="24"/>
    </row>
    <row r="18" spans="1:8" s="3" customFormat="1" x14ac:dyDescent="0.35">
      <c r="A18" s="1" t="s">
        <v>67</v>
      </c>
    </row>
    <row r="19" spans="1:8" s="3" customFormat="1" x14ac:dyDescent="0.35">
      <c r="A19" s="17"/>
    </row>
    <row r="20" spans="1:8" s="3" customFormat="1" x14ac:dyDescent="0.35">
      <c r="A20" s="17" t="s">
        <v>68</v>
      </c>
    </row>
    <row r="21" spans="1:8" s="3" customFormat="1" x14ac:dyDescent="0.35"/>
    <row r="22" spans="1:8" s="3" customFormat="1" x14ac:dyDescent="0.35">
      <c r="A22" s="3" t="s">
        <v>44</v>
      </c>
      <c r="B22" s="3">
        <v>1000</v>
      </c>
      <c r="C22" s="3" t="s">
        <v>45</v>
      </c>
    </row>
    <row r="23" spans="1:8" s="3" customFormat="1" x14ac:dyDescent="0.35">
      <c r="A23" s="3" t="s">
        <v>46</v>
      </c>
      <c r="B23" s="18">
        <v>0.13</v>
      </c>
      <c r="C23" s="3" t="s">
        <v>47</v>
      </c>
      <c r="D23" s="3" t="s">
        <v>48</v>
      </c>
    </row>
    <row r="24" spans="1:8" s="3" customFormat="1" x14ac:dyDescent="0.35">
      <c r="A24" s="3" t="s">
        <v>49</v>
      </c>
      <c r="B24" s="25">
        <f>B23/12</f>
        <v>1.0833333333333334E-2</v>
      </c>
      <c r="C24" s="3" t="s">
        <v>50</v>
      </c>
      <c r="D24" s="3" t="s">
        <v>69</v>
      </c>
    </row>
    <row r="25" spans="1:8" s="3" customFormat="1" x14ac:dyDescent="0.35"/>
    <row r="26" spans="1:8" s="3" customFormat="1" x14ac:dyDescent="0.35">
      <c r="A26" s="3" t="s">
        <v>52</v>
      </c>
      <c r="B26" s="19">
        <f>B22*(1+$B$24)</f>
        <v>1010.8333333333333</v>
      </c>
      <c r="C26" s="14" t="s">
        <v>53</v>
      </c>
    </row>
    <row r="27" spans="1:8" x14ac:dyDescent="0.35">
      <c r="A27" s="3" t="s">
        <v>54</v>
      </c>
      <c r="B27" s="19">
        <f>B26*(1+$B$24)</f>
        <v>1021.7840277777776</v>
      </c>
      <c r="C27" s="14" t="s">
        <v>55</v>
      </c>
    </row>
    <row r="28" spans="1:8" x14ac:dyDescent="0.35">
      <c r="A28" s="3" t="s">
        <v>56</v>
      </c>
      <c r="B28" s="19">
        <f t="shared" ref="B28:B30" si="1">B27*(1+$B$24)</f>
        <v>1032.8533547453701</v>
      </c>
      <c r="C28" s="14" t="s">
        <v>57</v>
      </c>
      <c r="E28" s="3" t="s">
        <v>58</v>
      </c>
    </row>
    <row r="29" spans="1:8" x14ac:dyDescent="0.35">
      <c r="A29" s="3" t="s">
        <v>59</v>
      </c>
      <c r="B29" s="19">
        <f t="shared" si="1"/>
        <v>1044.0425994217783</v>
      </c>
    </row>
    <row r="30" spans="1:8" ht="19.8" x14ac:dyDescent="0.35">
      <c r="A30" s="3" t="s">
        <v>60</v>
      </c>
      <c r="B30" s="20">
        <f t="shared" si="1"/>
        <v>1055.3530609155141</v>
      </c>
      <c r="C30" s="14" t="s">
        <v>61</v>
      </c>
    </row>
    <row r="32" spans="1:8" ht="19.8" x14ac:dyDescent="0.35">
      <c r="B32" s="22" t="s">
        <v>63</v>
      </c>
      <c r="C32" s="23" t="s">
        <v>64</v>
      </c>
      <c r="D32" s="23"/>
      <c r="E32" s="23"/>
      <c r="F32" s="23" t="s">
        <v>65</v>
      </c>
      <c r="G32" s="11"/>
      <c r="H32" s="11"/>
    </row>
    <row r="33" spans="1:10" x14ac:dyDescent="0.35">
      <c r="C33" s="24" t="s">
        <v>66</v>
      </c>
      <c r="D33" s="24"/>
      <c r="E33" s="24"/>
      <c r="F33" s="24"/>
      <c r="G33" s="24"/>
      <c r="H33" s="24"/>
    </row>
    <row r="35" spans="1:10" x14ac:dyDescent="0.35">
      <c r="A35" s="8" t="s">
        <v>70</v>
      </c>
      <c r="B35" s="9" t="s">
        <v>71</v>
      </c>
      <c r="C35" s="9" t="s">
        <v>72</v>
      </c>
      <c r="D35" s="9"/>
      <c r="E35" s="9"/>
      <c r="F35" s="9"/>
      <c r="G35" s="26">
        <f>B30-B13</f>
        <v>4.3430108155141625</v>
      </c>
      <c r="H35" s="9"/>
    </row>
    <row r="36" spans="1:10" x14ac:dyDescent="0.35">
      <c r="A36" s="9"/>
      <c r="B36" s="10" t="s">
        <v>73</v>
      </c>
      <c r="C36" s="9"/>
      <c r="D36" s="9"/>
      <c r="E36" s="9"/>
      <c r="F36" s="9"/>
      <c r="G36" s="9"/>
      <c r="H36" s="27">
        <f>G35/G37</f>
        <v>434.30108155141625</v>
      </c>
      <c r="I36" s="3" t="s">
        <v>30</v>
      </c>
    </row>
    <row r="37" spans="1:10" x14ac:dyDescent="0.35">
      <c r="A37" s="9"/>
      <c r="B37" s="9" t="s">
        <v>74</v>
      </c>
      <c r="C37" s="9" t="s">
        <v>75</v>
      </c>
      <c r="D37" s="9"/>
      <c r="E37" s="9"/>
      <c r="F37" s="9"/>
      <c r="G37" s="9">
        <v>0.01</v>
      </c>
      <c r="H37" s="9"/>
    </row>
    <row r="38" spans="1:10" ht="72" x14ac:dyDescent="0.35">
      <c r="H38" s="28" t="s">
        <v>76</v>
      </c>
    </row>
    <row r="40" spans="1:10" x14ac:dyDescent="0.35">
      <c r="A40" s="8" t="s">
        <v>70</v>
      </c>
      <c r="B40" s="9" t="s">
        <v>71</v>
      </c>
      <c r="C40" s="9" t="s">
        <v>77</v>
      </c>
      <c r="D40" s="9"/>
      <c r="E40" s="9"/>
      <c r="F40" s="9"/>
      <c r="G40" s="26">
        <f>1051.4437-B13</f>
        <v>0.43364990000009129</v>
      </c>
      <c r="H40" s="9"/>
    </row>
    <row r="41" spans="1:10" x14ac:dyDescent="0.35">
      <c r="A41" s="9"/>
      <c r="B41" s="10" t="s">
        <v>73</v>
      </c>
      <c r="C41" s="9"/>
      <c r="D41" s="9"/>
      <c r="E41" s="9"/>
      <c r="F41" s="9"/>
      <c r="G41" s="9"/>
      <c r="H41" s="27">
        <f>G40/G42</f>
        <v>433.64990000009129</v>
      </c>
      <c r="I41" s="3" t="s">
        <v>30</v>
      </c>
    </row>
    <row r="42" spans="1:10" x14ac:dyDescent="0.35">
      <c r="A42" s="9"/>
      <c r="B42" s="9" t="s">
        <v>74</v>
      </c>
      <c r="C42" s="9" t="s">
        <v>78</v>
      </c>
      <c r="D42" s="9"/>
      <c r="E42" s="9"/>
      <c r="F42" s="9"/>
      <c r="G42" s="9">
        <v>1E-3</v>
      </c>
      <c r="H42" s="9"/>
    </row>
    <row r="43" spans="1:10" ht="72" x14ac:dyDescent="0.35">
      <c r="H43" s="28" t="s">
        <v>79</v>
      </c>
    </row>
    <row r="45" spans="1:10" x14ac:dyDescent="0.35">
      <c r="A45" s="8" t="s">
        <v>70</v>
      </c>
      <c r="B45" s="9" t="s">
        <v>71</v>
      </c>
      <c r="C45" s="9" t="s">
        <v>80</v>
      </c>
      <c r="D45" s="9"/>
      <c r="E45" s="9"/>
      <c r="F45" s="9"/>
      <c r="G45" s="26">
        <f>1051.05341-B13</f>
        <v>4.3359900000041307E-2</v>
      </c>
      <c r="H45" s="9"/>
    </row>
    <row r="46" spans="1:10" x14ac:dyDescent="0.35">
      <c r="A46" s="9"/>
      <c r="B46" s="10" t="s">
        <v>73</v>
      </c>
      <c r="C46" s="9"/>
      <c r="D46" s="9"/>
      <c r="E46" s="9"/>
      <c r="F46" s="9"/>
      <c r="G46" s="9"/>
      <c r="H46" s="29">
        <f>G45/G47</f>
        <v>433.59900000041307</v>
      </c>
      <c r="I46" s="3" t="s">
        <v>30</v>
      </c>
    </row>
    <row r="47" spans="1:10" x14ac:dyDescent="0.35">
      <c r="A47" s="9"/>
      <c r="B47" s="9" t="s">
        <v>74</v>
      </c>
      <c r="C47" s="9" t="s">
        <v>81</v>
      </c>
      <c r="D47" s="9"/>
      <c r="E47" s="9"/>
      <c r="F47" s="9"/>
      <c r="G47" s="9">
        <v>1E-4</v>
      </c>
      <c r="H47" s="9"/>
    </row>
    <row r="48" spans="1:10" ht="72" x14ac:dyDescent="0.35">
      <c r="H48" s="28" t="s">
        <v>82</v>
      </c>
      <c r="I48" s="30" t="s">
        <v>83</v>
      </c>
      <c r="J48" s="31"/>
    </row>
    <row r="49" spans="1:5" x14ac:dyDescent="0.35">
      <c r="A49" s="32" t="s">
        <v>84</v>
      </c>
      <c r="E49" s="33"/>
    </row>
    <row r="50" spans="1:5" x14ac:dyDescent="0.35">
      <c r="A50" s="3" t="s">
        <v>85</v>
      </c>
    </row>
    <row r="51" spans="1:5" x14ac:dyDescent="0.35">
      <c r="A51" s="3" t="s">
        <v>86</v>
      </c>
    </row>
    <row r="52" spans="1:5" x14ac:dyDescent="0.35">
      <c r="A52" s="32" t="s">
        <v>87</v>
      </c>
    </row>
    <row r="53" spans="1:5" x14ac:dyDescent="0.35">
      <c r="A53" s="14" t="s">
        <v>88</v>
      </c>
    </row>
    <row r="54" spans="1:5" x14ac:dyDescent="0.35">
      <c r="A54" s="3" t="s">
        <v>89</v>
      </c>
      <c r="C54" s="34"/>
    </row>
    <row r="55" spans="1:5" x14ac:dyDescent="0.35">
      <c r="A55" s="14" t="s">
        <v>90</v>
      </c>
      <c r="B55" s="35">
        <f>5000*(1.01^4)/12</f>
        <v>433.58500416666669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Marginal Analysis Profit</vt:lpstr>
      <vt:lpstr>Marginal Analysis Financial</vt:lpstr>
    </vt:vector>
  </TitlesOfParts>
  <Company>Bryant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2023-08-28T13:36:45Z</dcterms:created>
  <dcterms:modified xsi:type="dcterms:W3CDTF">2023-08-28T13:37:09Z</dcterms:modified>
</cp:coreProperties>
</file>