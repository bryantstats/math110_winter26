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bishop\Desktop\Old Laptop\Math110\"/>
    </mc:Choice>
  </mc:AlternateContent>
  <bookViews>
    <workbookView xWindow="0" yWindow="0" windowWidth="23040" windowHeight="7812"/>
  </bookViews>
  <sheets>
    <sheet name="Quadratic Topics" sheetId="1" r:id="rId1"/>
    <sheet name="Quadratic Trend" sheetId="2" r:id="rId2"/>
    <sheet name="Quadratic Estimate" sheetId="3" r:id="rId3"/>
    <sheet name="Quadratic HW" sheetId="4" r:id="rId4"/>
  </sheets>
  <externalReferences>
    <externalReference r:id="rId5"/>
  </externalReferences>
  <definedNames>
    <definedName name="solver_adj" localSheetId="2" hidden="1">'Quadratic Estimate'!$G$7</definedName>
    <definedName name="solver_adj" localSheetId="1" hidden="1">'Quadratic Trend'!$G$6</definedName>
    <definedName name="solver_cvg" localSheetId="2" hidden="1">0.0001</definedName>
    <definedName name="solver_cvg" localSheetId="1" hidden="1">0.0001</definedName>
    <definedName name="solver_drv" localSheetId="2" hidden="1">2</definedName>
    <definedName name="solver_drv" localSheetId="1" hidden="1">2</definedName>
    <definedName name="solver_eng" localSheetId="2" hidden="1">1</definedName>
    <definedName name="solver_eng" localSheetId="1" hidden="1">1</definedName>
    <definedName name="solver_est" localSheetId="2" hidden="1">1</definedName>
    <definedName name="solver_est" localSheetId="1" hidden="1">1</definedName>
    <definedName name="solver_itr" localSheetId="2" hidden="1">2147483647</definedName>
    <definedName name="solver_itr" localSheetId="1" hidden="1">2147483647</definedName>
    <definedName name="solver_mip" localSheetId="2" hidden="1">2147483647</definedName>
    <definedName name="solver_mip" localSheetId="1" hidden="1">2147483647</definedName>
    <definedName name="solver_mni" localSheetId="2" hidden="1">30</definedName>
    <definedName name="solver_mni" localSheetId="1" hidden="1">30</definedName>
    <definedName name="solver_mrt" localSheetId="2" hidden="1">0.075</definedName>
    <definedName name="solver_mrt" localSheetId="1" hidden="1">0.075</definedName>
    <definedName name="solver_msl" localSheetId="2" hidden="1">2</definedName>
    <definedName name="solver_msl" localSheetId="1" hidden="1">2</definedName>
    <definedName name="solver_neg" localSheetId="2" hidden="1">2</definedName>
    <definedName name="solver_neg" localSheetId="1" hidden="1">2</definedName>
    <definedName name="solver_nod" localSheetId="2" hidden="1">2147483647</definedName>
    <definedName name="solver_nod" localSheetId="1" hidden="1">2147483647</definedName>
    <definedName name="solver_num" localSheetId="2" hidden="1">0</definedName>
    <definedName name="solver_num" localSheetId="1" hidden="1">0</definedName>
    <definedName name="solver_nwt" localSheetId="2" hidden="1">1</definedName>
    <definedName name="solver_nwt" localSheetId="1" hidden="1">1</definedName>
    <definedName name="solver_opt" localSheetId="2" hidden="1">'Quadratic Estimate'!$F$15</definedName>
    <definedName name="solver_opt" localSheetId="1" hidden="1">'Quadratic Trend'!$F$14</definedName>
    <definedName name="solver_pre" localSheetId="2" hidden="1">0.000001</definedName>
    <definedName name="solver_pre" localSheetId="1" hidden="1">0.000001</definedName>
    <definedName name="solver_rbv" localSheetId="2" hidden="1">2</definedName>
    <definedName name="solver_rbv" localSheetId="1" hidden="1">2</definedName>
    <definedName name="solver_rlx" localSheetId="2" hidden="1">2</definedName>
    <definedName name="solver_rlx" localSheetId="1" hidden="1">2</definedName>
    <definedName name="solver_rsd" localSheetId="2" hidden="1">0</definedName>
    <definedName name="solver_rsd" localSheetId="1" hidden="1">0</definedName>
    <definedName name="solver_scl" localSheetId="2" hidden="1">2</definedName>
    <definedName name="solver_scl" localSheetId="1" hidden="1">2</definedName>
    <definedName name="solver_sho" localSheetId="2" hidden="1">2</definedName>
    <definedName name="solver_sho" localSheetId="1" hidden="1">2</definedName>
    <definedName name="solver_ssz" localSheetId="2" hidden="1">100</definedName>
    <definedName name="solver_ssz" localSheetId="1" hidden="1">100</definedName>
    <definedName name="solver_tim" localSheetId="2" hidden="1">2147483647</definedName>
    <definedName name="solver_tim" localSheetId="1" hidden="1">2147483647</definedName>
    <definedName name="solver_tol" localSheetId="2" hidden="1">0.01</definedName>
    <definedName name="solver_tol" localSheetId="1" hidden="1">0.01</definedName>
    <definedName name="solver_typ" localSheetId="2" hidden="1">2</definedName>
    <definedName name="solver_typ" localSheetId="1" hidden="1">2</definedName>
    <definedName name="solver_val" localSheetId="2" hidden="1">0</definedName>
    <definedName name="solver_val" localSheetId="1" hidden="1">0</definedName>
    <definedName name="solver_ver" localSheetId="2" hidden="1">3</definedName>
    <definedName name="solver_ver" localSheetId="1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3" l="1"/>
  <c r="E9" i="3" s="1"/>
  <c r="F9" i="3" s="1"/>
  <c r="E10" i="3"/>
  <c r="F10" i="3" s="1"/>
  <c r="B10" i="3"/>
  <c r="F12" i="2"/>
  <c r="E12" i="2"/>
  <c r="E11" i="2"/>
  <c r="F11" i="2" s="1"/>
  <c r="F10" i="2"/>
  <c r="E10" i="2"/>
  <c r="E9" i="2"/>
  <c r="F9" i="2" s="1"/>
  <c r="F14" i="2" s="1"/>
  <c r="F8" i="2"/>
  <c r="E8" i="2"/>
  <c r="F15" i="3" l="1"/>
  <c r="E12" i="3"/>
  <c r="F12" i="3" s="1"/>
  <c r="E11" i="3"/>
  <c r="F11" i="3" s="1"/>
  <c r="E13" i="3"/>
  <c r="F13" i="3" s="1"/>
</calcChain>
</file>

<file path=xl/sharedStrings.xml><?xml version="1.0" encoding="utf-8"?>
<sst xmlns="http://schemas.openxmlformats.org/spreadsheetml/2006/main" count="60" uniqueCount="49">
  <si>
    <t>Topics</t>
  </si>
  <si>
    <t>y = ax^2 + bx + c</t>
  </si>
  <si>
    <t>a</t>
  </si>
  <si>
    <t xml:space="preserve">  review terms: vertex, y-intercept</t>
  </si>
  <si>
    <t>b</t>
  </si>
  <si>
    <t xml:space="preserve">  graph examples</t>
  </si>
  <si>
    <t>Applications</t>
  </si>
  <si>
    <t xml:space="preserve">   profit, revenue, cost</t>
  </si>
  <si>
    <t xml:space="preserve">  gravity </t>
  </si>
  <si>
    <t>QUIZ</t>
  </si>
  <si>
    <t>Real Data</t>
  </si>
  <si>
    <t xml:space="preserve">  SAT vs GPA - looks quadratic?</t>
  </si>
  <si>
    <t xml:space="preserve">   trendline in Excel</t>
  </si>
  <si>
    <t>c</t>
  </si>
  <si>
    <t xml:space="preserve">   Another example</t>
  </si>
  <si>
    <t>d</t>
  </si>
  <si>
    <t xml:space="preserve">   you do trendline</t>
  </si>
  <si>
    <t>e</t>
  </si>
  <si>
    <t xml:space="preserve">  compare linear and quadratic</t>
  </si>
  <si>
    <t>second half of case study #1</t>
  </si>
  <si>
    <t>Quadratic Equations - Trendline</t>
  </si>
  <si>
    <t xml:space="preserve">Make the Chart by first highlighting the green cells: </t>
  </si>
  <si>
    <t>a.  Create the quadratic formula using Chart function "trendline"</t>
  </si>
  <si>
    <t>"Insert"/ "Scatter Chart" / hit "+" on upper right / check "trendline" then hit the little arrow to the right</t>
  </si>
  <si>
    <t>b.  Plug all x values into your equation (column E), then find error (column F)</t>
  </si>
  <si>
    <t xml:space="preserve"> check off "more options" / "polynomial" order "2" / "display equation on chart"</t>
  </si>
  <si>
    <t>x</t>
  </si>
  <si>
    <t>y</t>
  </si>
  <si>
    <t>formula</t>
  </si>
  <si>
    <t>error-square</t>
  </si>
  <si>
    <t>total error</t>
  </si>
  <si>
    <r>
      <t>y = 1.3393x</t>
    </r>
    <r>
      <rPr>
        <vertAlign val="superscript"/>
        <sz val="14"/>
        <color rgb="FF595959"/>
        <rFont val="Calibri"/>
        <family val="2"/>
        <scheme val="minor"/>
      </rPr>
      <t>2</t>
    </r>
    <r>
      <rPr>
        <sz val="14"/>
        <color rgb="FF595959"/>
        <rFont val="Calibri"/>
        <family val="2"/>
        <scheme val="minor"/>
      </rPr>
      <t xml:space="preserve"> + 1.3571x + 128.02</t>
    </r>
  </si>
  <si>
    <t>Quadratic Equations - estimation</t>
  </si>
  <si>
    <t>a. Looking for the y-intercept first and assuming the equation is y = ax^2+c</t>
  </si>
  <si>
    <t>b.  Then pick the number 1.0 in cell G7 and fill the formula in column E</t>
  </si>
  <si>
    <t>c.  Column F will have the error and cell F14 will have the total error</t>
  </si>
  <si>
    <t>d.  Use "Data" / "Solver" / first box "Set Objective" = F15 / click "min" below / Click "changing cell" = G7</t>
  </si>
  <si>
    <r>
      <t>y = ax</t>
    </r>
    <r>
      <rPr>
        <b/>
        <vertAlign val="super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+c</t>
    </r>
  </si>
  <si>
    <t>pick any "a" value below</t>
  </si>
  <si>
    <t>a=</t>
  </si>
  <si>
    <t>slopes</t>
  </si>
  <si>
    <t>solver will make total error</t>
  </si>
  <si>
    <t xml:space="preserve">approximating c as 122.5 </t>
  </si>
  <si>
    <t>as small as possible</t>
  </si>
  <si>
    <t>by using the y-value at x=1 and subtracting the slope</t>
  </si>
  <si>
    <t>1. Create estimation equation</t>
  </si>
  <si>
    <t>2. Create trendline equation</t>
  </si>
  <si>
    <t>3. When x = 20, what are the values of y based on your equations</t>
  </si>
  <si>
    <t>4. Which equation is more accurate?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</si>
</sst>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0.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595959"/>
      <name val="Calibri"/>
      <family val="2"/>
      <scheme val="minor"/>
    </font>
    <font>
      <vertAlign val="superscript"/>
      <sz val="14"/>
      <color rgb="FF595959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44" fontId="3" fillId="0" borderId="0" xfId="1" applyFont="1"/>
    <xf numFmtId="44" fontId="3" fillId="0" borderId="0" xfId="1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Fill="1"/>
    <xf numFmtId="0" fontId="3" fillId="3" borderId="0" xfId="0" applyFont="1" applyFill="1" applyAlignment="1">
      <alignment vertical="center"/>
    </xf>
    <xf numFmtId="164" fontId="3" fillId="0" borderId="0" xfId="0" applyNumberFormat="1" applyFont="1"/>
    <xf numFmtId="2" fontId="3" fillId="0" borderId="0" xfId="0" applyNumberFormat="1" applyFont="1"/>
    <xf numFmtId="0" fontId="3" fillId="0" borderId="0" xfId="0" applyFont="1" applyFill="1" applyAlignment="1">
      <alignment horizontal="right"/>
    </xf>
    <xf numFmtId="2" fontId="3" fillId="4" borderId="0" xfId="0" applyNumberFormat="1" applyFont="1" applyFill="1"/>
    <xf numFmtId="0" fontId="4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right"/>
    </xf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3" fillId="4" borderId="0" xfId="0" applyFont="1" applyFill="1"/>
    <xf numFmtId="44" fontId="3" fillId="4" borderId="0" xfId="1" applyFont="1" applyFill="1" applyAlignment="1">
      <alignment horizontal="right"/>
    </xf>
    <xf numFmtId="165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2" fillId="3" borderId="0" xfId="0" applyFont="1" applyFill="1" applyAlignment="1">
      <alignment horizontal="right"/>
    </xf>
    <xf numFmtId="44" fontId="2" fillId="3" borderId="0" xfId="1" applyFont="1" applyFill="1" applyAlignment="1">
      <alignment horizontal="right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'Quadratic Trend'!$C$8:$C$12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xVal>
          <c:yVal>
            <c:numRef>
              <c:f>'Quadratic Trend'!$D$8:$D$12</c:f>
              <c:numCache>
                <c:formatCode>General</c:formatCode>
                <c:ptCount val="5"/>
                <c:pt idx="0">
                  <c:v>130</c:v>
                </c:pt>
                <c:pt idx="1">
                  <c:v>145</c:v>
                </c:pt>
                <c:pt idx="2">
                  <c:v>170</c:v>
                </c:pt>
                <c:pt idx="3">
                  <c:v>200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1B-438C-A478-AB1C09CD2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137112"/>
        <c:axId val="533142360"/>
      </c:scatterChart>
      <c:valAx>
        <c:axId val="533137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42360"/>
        <c:crosses val="autoZero"/>
        <c:crossBetween val="midCat"/>
      </c:valAx>
      <c:valAx>
        <c:axId val="53314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37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'Quadratic Estimate'!$C$9:$C$13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xVal>
          <c:yVal>
            <c:numRef>
              <c:f>'Quadratic Estimate'!$D$9:$D$13</c:f>
              <c:numCache>
                <c:formatCode>General</c:formatCode>
                <c:ptCount val="5"/>
                <c:pt idx="0">
                  <c:v>130</c:v>
                </c:pt>
                <c:pt idx="1">
                  <c:v>145</c:v>
                </c:pt>
                <c:pt idx="2">
                  <c:v>170</c:v>
                </c:pt>
                <c:pt idx="3">
                  <c:v>200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2E-4A74-B5A8-7752EE776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137112"/>
        <c:axId val="533142360"/>
      </c:scatterChart>
      <c:valAx>
        <c:axId val="533137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42360"/>
        <c:crosses val="autoZero"/>
        <c:crossBetween val="midCat"/>
      </c:valAx>
      <c:valAx>
        <c:axId val="53314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37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552060</xdr:colOff>
      <xdr:row>4</xdr:row>
      <xdr:rowOff>230155</xdr:rowOff>
    </xdr:from>
    <xdr:to>
      <xdr:col>18</xdr:col>
      <xdr:colOff>326568</xdr:colOff>
      <xdr:row>22</xdr:row>
      <xdr:rowOff>116630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443202</xdr:colOff>
      <xdr:row>5</xdr:row>
      <xdr:rowOff>136852</xdr:rowOff>
    </xdr:from>
    <xdr:to>
      <xdr:col>16</xdr:col>
      <xdr:colOff>489855</xdr:colOff>
      <xdr:row>19</xdr:row>
      <xdr:rowOff>26438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h1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Math110 Syllabus"/>
      <sheetName val="Links_resources"/>
      <sheetName val="Linear Topics"/>
      <sheetName val="Linear Estimation"/>
      <sheetName val="Linear Trend"/>
      <sheetName val="Linear Regression"/>
      <sheetName val="Linear HW"/>
      <sheetName val="Quadratic Topics"/>
      <sheetName val="Quadratic Trend"/>
      <sheetName val="Quadratic Estimate"/>
      <sheetName val="Quadratic HW"/>
      <sheetName val="Compound Interest"/>
      <sheetName val="Annuities"/>
      <sheetName val="CarLoan"/>
      <sheetName val="HouseLoan"/>
      <sheetName val="Case Study 2"/>
      <sheetName val="LP_class"/>
      <sheetName val="LP_HW"/>
      <sheetName val="Marginal Analysis Profit"/>
      <sheetName val="Marginal Analysis Financial"/>
      <sheetName val="Optimiz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C8">
            <v>1</v>
          </cell>
          <cell r="D8">
            <v>130</v>
          </cell>
        </row>
        <row r="9">
          <cell r="C9">
            <v>3</v>
          </cell>
          <cell r="D9">
            <v>145</v>
          </cell>
        </row>
        <row r="10">
          <cell r="C10">
            <v>5</v>
          </cell>
          <cell r="D10">
            <v>170</v>
          </cell>
        </row>
        <row r="11">
          <cell r="C11">
            <v>7</v>
          </cell>
          <cell r="D11">
            <v>200</v>
          </cell>
        </row>
        <row r="12">
          <cell r="C12">
            <v>9</v>
          </cell>
          <cell r="D12">
            <v>250</v>
          </cell>
        </row>
      </sheetData>
      <sheetData sheetId="9">
        <row r="9">
          <cell r="C9">
            <v>1</v>
          </cell>
          <cell r="D9">
            <v>130</v>
          </cell>
        </row>
        <row r="10">
          <cell r="C10">
            <v>3</v>
          </cell>
          <cell r="D10">
            <v>145</v>
          </cell>
        </row>
        <row r="11">
          <cell r="C11">
            <v>5</v>
          </cell>
          <cell r="D11">
            <v>170</v>
          </cell>
        </row>
        <row r="12">
          <cell r="C12">
            <v>7</v>
          </cell>
          <cell r="D12">
            <v>200</v>
          </cell>
        </row>
        <row r="13">
          <cell r="C13">
            <v>9</v>
          </cell>
          <cell r="D13">
            <v>250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17"/>
  <sheetViews>
    <sheetView tabSelected="1" workbookViewId="0">
      <selection activeCell="B18" sqref="B18"/>
    </sheetView>
  </sheetViews>
  <sheetFormatPr defaultRowHeight="18" x14ac:dyDescent="0.35"/>
  <cols>
    <col min="1" max="1" width="8.88671875" style="2"/>
    <col min="2" max="2" width="50.21875" style="2" customWidth="1"/>
    <col min="3" max="3" width="8.88671875" style="2"/>
    <col min="4" max="4" width="12.6640625" style="2" customWidth="1"/>
    <col min="5" max="16384" width="8.88671875" style="2"/>
  </cols>
  <sheetData>
    <row r="1" spans="1:5" x14ac:dyDescent="0.35">
      <c r="A1" s="1" t="s">
        <v>0</v>
      </c>
    </row>
    <row r="2" spans="1:5" x14ac:dyDescent="0.35">
      <c r="A2" s="3">
        <v>1</v>
      </c>
      <c r="B2" s="4" t="s">
        <v>1</v>
      </c>
      <c r="C2" s="5"/>
      <c r="D2" s="5"/>
      <c r="E2" s="5"/>
    </row>
    <row r="3" spans="1:5" x14ac:dyDescent="0.35">
      <c r="A3" s="6" t="s">
        <v>2</v>
      </c>
      <c r="B3" s="2" t="s">
        <v>3</v>
      </c>
    </row>
    <row r="4" spans="1:5" x14ac:dyDescent="0.35">
      <c r="A4" s="6" t="s">
        <v>4</v>
      </c>
      <c r="B4" s="2" t="s">
        <v>5</v>
      </c>
    </row>
    <row r="5" spans="1:5" x14ac:dyDescent="0.35">
      <c r="A5" s="3">
        <v>2</v>
      </c>
      <c r="B5" s="7" t="s">
        <v>6</v>
      </c>
      <c r="C5" s="5"/>
      <c r="D5" s="5"/>
      <c r="E5" s="5"/>
    </row>
    <row r="6" spans="1:5" x14ac:dyDescent="0.35">
      <c r="A6" s="6" t="s">
        <v>2</v>
      </c>
      <c r="B6" s="2" t="s">
        <v>7</v>
      </c>
    </row>
    <row r="7" spans="1:5" x14ac:dyDescent="0.35">
      <c r="A7" s="6" t="s">
        <v>4</v>
      </c>
      <c r="B7" s="2" t="s">
        <v>8</v>
      </c>
    </row>
    <row r="8" spans="1:5" x14ac:dyDescent="0.35">
      <c r="A8" s="6"/>
      <c r="B8" s="4" t="s">
        <v>9</v>
      </c>
    </row>
    <row r="9" spans="1:5" x14ac:dyDescent="0.35">
      <c r="A9" s="6"/>
    </row>
    <row r="10" spans="1:5" x14ac:dyDescent="0.35">
      <c r="A10" s="6"/>
    </row>
    <row r="11" spans="1:5" x14ac:dyDescent="0.35">
      <c r="A11" s="3">
        <v>3</v>
      </c>
      <c r="B11" s="4" t="s">
        <v>10</v>
      </c>
      <c r="C11" s="5"/>
      <c r="D11" s="5"/>
      <c r="E11" s="5"/>
    </row>
    <row r="12" spans="1:5" x14ac:dyDescent="0.35">
      <c r="A12" s="6" t="s">
        <v>2</v>
      </c>
      <c r="B12" s="2" t="s">
        <v>11</v>
      </c>
    </row>
    <row r="13" spans="1:5" x14ac:dyDescent="0.35">
      <c r="A13" s="6" t="s">
        <v>4</v>
      </c>
      <c r="B13" s="2" t="s">
        <v>12</v>
      </c>
    </row>
    <row r="14" spans="1:5" x14ac:dyDescent="0.35">
      <c r="A14" s="6" t="s">
        <v>13</v>
      </c>
      <c r="B14" s="2" t="s">
        <v>14</v>
      </c>
    </row>
    <row r="15" spans="1:5" x14ac:dyDescent="0.35">
      <c r="A15" s="6" t="s">
        <v>15</v>
      </c>
      <c r="B15" s="2" t="s">
        <v>16</v>
      </c>
    </row>
    <row r="16" spans="1:5" x14ac:dyDescent="0.35">
      <c r="A16" s="6" t="s">
        <v>17</v>
      </c>
      <c r="B16" s="2" t="s">
        <v>18</v>
      </c>
    </row>
    <row r="17" spans="1:5" x14ac:dyDescent="0.35">
      <c r="A17" s="6"/>
      <c r="B17" s="4" t="s">
        <v>19</v>
      </c>
      <c r="C17" s="5"/>
      <c r="D17" s="5"/>
      <c r="E1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50"/>
  <sheetViews>
    <sheetView zoomScale="98" workbookViewId="0">
      <selection activeCell="B11" sqref="B11"/>
    </sheetView>
  </sheetViews>
  <sheetFormatPr defaultRowHeight="18" x14ac:dyDescent="0.35"/>
  <cols>
    <col min="1" max="2" width="8.88671875" style="2"/>
    <col min="3" max="3" width="9" style="2" customWidth="1"/>
    <col min="4" max="4" width="10.44140625" style="2" customWidth="1"/>
    <col min="5" max="5" width="17" style="2" bestFit="1" customWidth="1"/>
    <col min="6" max="6" width="14.5546875" style="2" customWidth="1"/>
    <col min="7" max="7" width="17.21875" style="2" customWidth="1"/>
    <col min="8" max="16384" width="8.88671875" style="2"/>
  </cols>
  <sheetData>
    <row r="1" spans="1:9" ht="27.6" customHeight="1" x14ac:dyDescent="0.35">
      <c r="A1" s="1" t="s">
        <v>20</v>
      </c>
      <c r="D1" s="8"/>
      <c r="H1" s="1" t="s">
        <v>21</v>
      </c>
    </row>
    <row r="2" spans="1:9" ht="27.6" customHeight="1" x14ac:dyDescent="0.35">
      <c r="B2" s="2" t="s">
        <v>22</v>
      </c>
      <c r="F2" s="9"/>
      <c r="I2" s="2" t="s">
        <v>23</v>
      </c>
    </row>
    <row r="3" spans="1:9" ht="27.6" customHeight="1" x14ac:dyDescent="0.35">
      <c r="B3" s="2" t="s">
        <v>24</v>
      </c>
      <c r="F3" s="9"/>
      <c r="I3" s="2" t="s">
        <v>25</v>
      </c>
    </row>
    <row r="4" spans="1:9" ht="27.6" customHeight="1" x14ac:dyDescent="0.35">
      <c r="F4" s="9"/>
    </row>
    <row r="5" spans="1:9" ht="27.6" customHeight="1" x14ac:dyDescent="0.35">
      <c r="F5" s="9"/>
    </row>
    <row r="6" spans="1:9" x14ac:dyDescent="0.35">
      <c r="F6" s="9"/>
    </row>
    <row r="7" spans="1:9" x14ac:dyDescent="0.35">
      <c r="C7" s="10" t="s">
        <v>26</v>
      </c>
      <c r="D7" s="10" t="s">
        <v>27</v>
      </c>
      <c r="E7" s="11" t="s">
        <v>28</v>
      </c>
      <c r="F7" s="11" t="s">
        <v>29</v>
      </c>
    </row>
    <row r="8" spans="1:9" x14ac:dyDescent="0.35">
      <c r="B8" s="12"/>
      <c r="C8" s="13">
        <v>1</v>
      </c>
      <c r="D8" s="13">
        <v>130</v>
      </c>
      <c r="E8" s="14">
        <f>1.3393*C8^2+1.3571*C8+128.02</f>
        <v>130.71640000000002</v>
      </c>
      <c r="F8" s="15">
        <f>(E8-D8)^2</f>
        <v>0.51322896000003071</v>
      </c>
    </row>
    <row r="9" spans="1:9" x14ac:dyDescent="0.35">
      <c r="B9" s="12"/>
      <c r="C9" s="13">
        <v>3</v>
      </c>
      <c r="D9" s="13">
        <v>145</v>
      </c>
      <c r="E9" s="14">
        <f t="shared" ref="E9:E12" si="0">1.3393*C9^2+1.3571*C9+128.02</f>
        <v>144.14500000000001</v>
      </c>
      <c r="F9" s="15">
        <f t="shared" ref="F9:F12" si="1">(E9-D9)^2</f>
        <v>0.73102499999998249</v>
      </c>
    </row>
    <row r="10" spans="1:9" x14ac:dyDescent="0.35">
      <c r="B10" s="12"/>
      <c r="C10" s="13">
        <v>5</v>
      </c>
      <c r="D10" s="13">
        <v>170</v>
      </c>
      <c r="E10" s="14">
        <f t="shared" si="0"/>
        <v>168.28800000000001</v>
      </c>
      <c r="F10" s="15">
        <f t="shared" si="1"/>
        <v>2.9309439999999625</v>
      </c>
    </row>
    <row r="11" spans="1:9" x14ac:dyDescent="0.35">
      <c r="B11" s="12"/>
      <c r="C11" s="13">
        <v>7</v>
      </c>
      <c r="D11" s="13">
        <v>200</v>
      </c>
      <c r="E11" s="14">
        <f t="shared" si="0"/>
        <v>203.1454</v>
      </c>
      <c r="F11" s="15">
        <f t="shared" si="1"/>
        <v>9.8935411599999696</v>
      </c>
    </row>
    <row r="12" spans="1:9" x14ac:dyDescent="0.35">
      <c r="B12" s="12"/>
      <c r="C12" s="13">
        <v>9</v>
      </c>
      <c r="D12" s="13">
        <v>250</v>
      </c>
      <c r="E12" s="14">
        <f t="shared" si="0"/>
        <v>248.71719999999999</v>
      </c>
      <c r="F12" s="15">
        <f t="shared" si="1"/>
        <v>1.6455758400000227</v>
      </c>
    </row>
    <row r="13" spans="1:9" x14ac:dyDescent="0.35">
      <c r="B13" s="12"/>
      <c r="D13" s="8"/>
    </row>
    <row r="14" spans="1:9" x14ac:dyDescent="0.35">
      <c r="B14" s="16"/>
      <c r="C14" s="12"/>
      <c r="D14" s="12"/>
      <c r="F14" s="17">
        <f>SUM(F8:F12)</f>
        <v>15.714314959999967</v>
      </c>
      <c r="G14" s="2" t="s">
        <v>30</v>
      </c>
    </row>
    <row r="16" spans="1:9" ht="19.8" x14ac:dyDescent="0.35">
      <c r="C16" s="18" t="s">
        <v>31</v>
      </c>
    </row>
    <row r="18" spans="4:4" x14ac:dyDescent="0.35">
      <c r="D18" s="19"/>
    </row>
    <row r="34" spans="1:5" x14ac:dyDescent="0.35">
      <c r="A34" s="20"/>
      <c r="B34" s="12"/>
      <c r="C34" s="12"/>
      <c r="D34" s="12"/>
      <c r="E34" s="12"/>
    </row>
    <row r="35" spans="1:5" x14ac:dyDescent="0.35">
      <c r="A35" s="21"/>
      <c r="B35" s="20"/>
      <c r="C35" s="12"/>
      <c r="D35" s="12"/>
      <c r="E35" s="12"/>
    </row>
    <row r="36" spans="1:5" x14ac:dyDescent="0.35">
      <c r="A36" s="21"/>
      <c r="B36" s="12"/>
      <c r="C36" s="12"/>
      <c r="D36" s="12"/>
      <c r="E36" s="12"/>
    </row>
    <row r="37" spans="1:5" x14ac:dyDescent="0.35">
      <c r="A37" s="21"/>
      <c r="B37" s="12"/>
      <c r="C37" s="12"/>
      <c r="D37" s="12"/>
      <c r="E37" s="12"/>
    </row>
    <row r="38" spans="1:5" x14ac:dyDescent="0.35">
      <c r="A38" s="21"/>
      <c r="B38" s="22"/>
      <c r="C38" s="12"/>
      <c r="D38" s="12"/>
      <c r="E38" s="12"/>
    </row>
    <row r="39" spans="1:5" x14ac:dyDescent="0.35">
      <c r="A39" s="21"/>
      <c r="B39" s="12"/>
      <c r="C39" s="12"/>
      <c r="D39" s="12"/>
      <c r="E39" s="12"/>
    </row>
    <row r="40" spans="1:5" x14ac:dyDescent="0.35">
      <c r="A40" s="21"/>
      <c r="B40" s="12"/>
      <c r="C40" s="12"/>
      <c r="D40" s="12"/>
      <c r="E40" s="12"/>
    </row>
    <row r="41" spans="1:5" x14ac:dyDescent="0.35">
      <c r="A41" s="21"/>
      <c r="B41" s="20"/>
      <c r="C41" s="12"/>
      <c r="D41" s="12"/>
      <c r="E41" s="12"/>
    </row>
    <row r="42" spans="1:5" x14ac:dyDescent="0.35">
      <c r="A42" s="21"/>
      <c r="B42" s="12"/>
      <c r="C42" s="12"/>
      <c r="D42" s="12"/>
      <c r="E42" s="12"/>
    </row>
    <row r="43" spans="1:5" x14ac:dyDescent="0.35">
      <c r="A43" s="21"/>
      <c r="B43" s="12"/>
      <c r="C43" s="12"/>
      <c r="D43" s="12"/>
      <c r="E43" s="12"/>
    </row>
    <row r="44" spans="1:5" x14ac:dyDescent="0.35">
      <c r="A44" s="21"/>
      <c r="B44" s="20"/>
      <c r="C44" s="12"/>
      <c r="D44" s="12"/>
      <c r="E44" s="12"/>
    </row>
    <row r="45" spans="1:5" x14ac:dyDescent="0.35">
      <c r="A45" s="21"/>
      <c r="B45" s="12"/>
      <c r="C45" s="12"/>
      <c r="D45" s="12"/>
      <c r="E45" s="12"/>
    </row>
    <row r="46" spans="1:5" x14ac:dyDescent="0.35">
      <c r="A46" s="21"/>
      <c r="B46" s="12"/>
      <c r="C46" s="12"/>
      <c r="D46" s="12"/>
      <c r="E46" s="12"/>
    </row>
    <row r="47" spans="1:5" x14ac:dyDescent="0.35">
      <c r="A47" s="21"/>
      <c r="B47" s="12"/>
      <c r="C47" s="12"/>
      <c r="D47" s="12"/>
      <c r="E47" s="12"/>
    </row>
    <row r="48" spans="1:5" x14ac:dyDescent="0.35">
      <c r="A48" s="21"/>
      <c r="B48" s="12"/>
      <c r="C48" s="12"/>
      <c r="D48" s="12"/>
      <c r="E48" s="12"/>
    </row>
    <row r="49" spans="1:5" x14ac:dyDescent="0.35">
      <c r="A49" s="12"/>
      <c r="B49" s="12"/>
      <c r="C49" s="12"/>
      <c r="D49" s="12"/>
      <c r="E49" s="12"/>
    </row>
    <row r="50" spans="1:5" x14ac:dyDescent="0.35">
      <c r="A50" s="21"/>
      <c r="B50" s="20"/>
      <c r="C50" s="12"/>
      <c r="D50" s="12"/>
      <c r="E50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19"/>
  <sheetViews>
    <sheetView zoomScale="98" workbookViewId="0">
      <selection activeCell="B11" sqref="B11"/>
    </sheetView>
  </sheetViews>
  <sheetFormatPr defaultRowHeight="18" x14ac:dyDescent="0.35"/>
  <cols>
    <col min="1" max="2" width="8.88671875" style="2"/>
    <col min="3" max="3" width="9" style="2" customWidth="1"/>
    <col min="4" max="4" width="10.44140625" style="2" customWidth="1"/>
    <col min="5" max="5" width="17" style="2" bestFit="1" customWidth="1"/>
    <col min="6" max="6" width="16.21875" style="2" customWidth="1"/>
    <col min="7" max="7" width="32" style="2" customWidth="1"/>
    <col min="8" max="16384" width="8.88671875" style="2"/>
  </cols>
  <sheetData>
    <row r="1" spans="1:7" ht="27.6" customHeight="1" x14ac:dyDescent="0.35">
      <c r="A1" s="1" t="s">
        <v>32</v>
      </c>
      <c r="D1" s="8"/>
    </row>
    <row r="2" spans="1:7" ht="22.2" customHeight="1" x14ac:dyDescent="0.35">
      <c r="B2" s="2" t="s">
        <v>33</v>
      </c>
      <c r="D2" s="8"/>
    </row>
    <row r="3" spans="1:7" ht="17.399999999999999" customHeight="1" x14ac:dyDescent="0.35">
      <c r="B3" s="2" t="s">
        <v>34</v>
      </c>
      <c r="D3" s="8"/>
    </row>
    <row r="4" spans="1:7" ht="17.399999999999999" customHeight="1" x14ac:dyDescent="0.35">
      <c r="B4" s="2" t="s">
        <v>35</v>
      </c>
      <c r="D4" s="8"/>
    </row>
    <row r="5" spans="1:7" ht="18.600000000000001" customHeight="1" x14ac:dyDescent="0.35">
      <c r="B5" s="2" t="s">
        <v>36</v>
      </c>
      <c r="D5" s="8"/>
    </row>
    <row r="6" spans="1:7" ht="27.6" customHeight="1" x14ac:dyDescent="0.35">
      <c r="D6" s="8"/>
      <c r="E6" s="11" t="s">
        <v>37</v>
      </c>
      <c r="G6" s="23" t="s">
        <v>38</v>
      </c>
    </row>
    <row r="7" spans="1:7" x14ac:dyDescent="0.35">
      <c r="F7" s="24" t="s">
        <v>39</v>
      </c>
      <c r="G7" s="25">
        <v>1.605388354535112</v>
      </c>
    </row>
    <row r="8" spans="1:7" x14ac:dyDescent="0.35">
      <c r="B8" s="26" t="s">
        <v>40</v>
      </c>
      <c r="C8" s="27" t="s">
        <v>26</v>
      </c>
      <c r="D8" s="28" t="s">
        <v>27</v>
      </c>
      <c r="E8" s="11" t="s">
        <v>28</v>
      </c>
      <c r="F8" s="11" t="s">
        <v>29</v>
      </c>
    </row>
    <row r="9" spans="1:7" x14ac:dyDescent="0.35">
      <c r="B9" s="26"/>
      <c r="C9" s="29">
        <v>1</v>
      </c>
      <c r="D9" s="29">
        <v>130</v>
      </c>
      <c r="E9" s="14">
        <f>$C$15+$G$7*C9^2</f>
        <v>124.10538835453511</v>
      </c>
      <c r="F9" s="15">
        <f>(E9-D9)^2</f>
        <v>34.746446450850314</v>
      </c>
    </row>
    <row r="10" spans="1:7" x14ac:dyDescent="0.35">
      <c r="B10" s="26">
        <f>(D10-D9)/(C10-C9)</f>
        <v>7.5</v>
      </c>
      <c r="C10" s="29">
        <v>3</v>
      </c>
      <c r="D10" s="29">
        <v>145</v>
      </c>
      <c r="E10" s="14">
        <f t="shared" ref="E10:E13" si="0">$C$15+$G$7*C10^2</f>
        <v>136.948495190816</v>
      </c>
      <c r="F10" s="15">
        <f t="shared" ref="F10:F13" si="1">(E10-D10)^2</f>
        <v>64.826729692313009</v>
      </c>
    </row>
    <row r="11" spans="1:7" x14ac:dyDescent="0.35">
      <c r="B11" s="12"/>
      <c r="C11" s="13">
        <v>5</v>
      </c>
      <c r="D11" s="13">
        <v>170</v>
      </c>
      <c r="E11" s="14">
        <f t="shared" si="0"/>
        <v>162.6347088633778</v>
      </c>
      <c r="F11" s="15">
        <f t="shared" si="1"/>
        <v>54.247513527205598</v>
      </c>
    </row>
    <row r="12" spans="1:7" x14ac:dyDescent="0.35">
      <c r="B12" s="12"/>
      <c r="C12" s="13">
        <v>7</v>
      </c>
      <c r="D12" s="13">
        <v>200</v>
      </c>
      <c r="E12" s="14">
        <f t="shared" si="0"/>
        <v>201.16402937222048</v>
      </c>
      <c r="F12" s="15">
        <f t="shared" si="1"/>
        <v>1.3549643793920119</v>
      </c>
    </row>
    <row r="13" spans="1:7" x14ac:dyDescent="0.35">
      <c r="B13" s="12"/>
      <c r="C13" s="13">
        <v>9</v>
      </c>
      <c r="D13" s="13">
        <v>250</v>
      </c>
      <c r="E13" s="14">
        <f t="shared" si="0"/>
        <v>252.53645671734407</v>
      </c>
      <c r="F13" s="15">
        <f t="shared" si="1"/>
        <v>6.433612678959836</v>
      </c>
    </row>
    <row r="14" spans="1:7" x14ac:dyDescent="0.35">
      <c r="D14" s="8"/>
    </row>
    <row r="15" spans="1:7" x14ac:dyDescent="0.35">
      <c r="B15" s="30" t="s">
        <v>13</v>
      </c>
      <c r="C15" s="26">
        <f>130-7.5</f>
        <v>122.5</v>
      </c>
      <c r="F15" s="17">
        <f>SUM(F9:F13)</f>
        <v>161.60926672872077</v>
      </c>
      <c r="G15" s="23" t="s">
        <v>41</v>
      </c>
    </row>
    <row r="16" spans="1:7" x14ac:dyDescent="0.35">
      <c r="B16" s="2" t="s">
        <v>42</v>
      </c>
      <c r="G16" s="23" t="s">
        <v>43</v>
      </c>
    </row>
    <row r="17" spans="2:4" x14ac:dyDescent="0.35">
      <c r="B17" s="2" t="s">
        <v>44</v>
      </c>
    </row>
    <row r="19" spans="2:4" x14ac:dyDescent="0.35">
      <c r="D19" s="1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C3:I21"/>
  <sheetViews>
    <sheetView workbookViewId="0">
      <selection activeCell="B11" sqref="B11"/>
    </sheetView>
  </sheetViews>
  <sheetFormatPr defaultRowHeight="18" x14ac:dyDescent="0.35"/>
  <cols>
    <col min="1" max="16384" width="8.88671875" style="2"/>
  </cols>
  <sheetData>
    <row r="3" spans="3:6" x14ac:dyDescent="0.35">
      <c r="C3" s="27" t="s">
        <v>26</v>
      </c>
      <c r="D3" s="28" t="s">
        <v>27</v>
      </c>
      <c r="F3" s="2" t="s">
        <v>45</v>
      </c>
    </row>
    <row r="4" spans="3:6" x14ac:dyDescent="0.35">
      <c r="C4" s="13">
        <v>2</v>
      </c>
      <c r="D4" s="13">
        <v>220</v>
      </c>
      <c r="F4" s="2" t="s">
        <v>46</v>
      </c>
    </row>
    <row r="5" spans="3:6" x14ac:dyDescent="0.35">
      <c r="C5" s="13">
        <v>4</v>
      </c>
      <c r="D5" s="13">
        <v>240</v>
      </c>
    </row>
    <row r="6" spans="3:6" x14ac:dyDescent="0.35">
      <c r="C6" s="13">
        <v>6</v>
      </c>
      <c r="D6" s="13">
        <v>270</v>
      </c>
    </row>
    <row r="7" spans="3:6" x14ac:dyDescent="0.35">
      <c r="C7" s="13">
        <v>8</v>
      </c>
      <c r="D7" s="13">
        <v>300</v>
      </c>
      <c r="F7" s="2" t="s">
        <v>47</v>
      </c>
    </row>
    <row r="8" spans="3:6" x14ac:dyDescent="0.35">
      <c r="C8" s="13">
        <v>10</v>
      </c>
      <c r="D8" s="13">
        <v>250</v>
      </c>
      <c r="F8" s="2" t="s">
        <v>48</v>
      </c>
    </row>
    <row r="9" spans="3:6" x14ac:dyDescent="0.35">
      <c r="C9" s="13">
        <v>14</v>
      </c>
      <c r="D9" s="13">
        <v>300</v>
      </c>
    </row>
    <row r="21" spans="9:9" x14ac:dyDescent="0.35">
      <c r="I2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Quadratic Topics</vt:lpstr>
      <vt:lpstr>Quadratic Trend</vt:lpstr>
      <vt:lpstr>Quadratic Estimate</vt:lpstr>
      <vt:lpstr>Quadratic HW</vt:lpstr>
    </vt:vector>
  </TitlesOfParts>
  <Company>Bryant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2023-08-28T13:29:40Z</dcterms:created>
  <dcterms:modified xsi:type="dcterms:W3CDTF">2023-08-28T13:30:15Z</dcterms:modified>
</cp:coreProperties>
</file>