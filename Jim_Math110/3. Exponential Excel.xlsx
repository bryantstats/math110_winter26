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bishop\Desktop\Old Laptop\Math110\"/>
    </mc:Choice>
  </mc:AlternateContent>
  <bookViews>
    <workbookView xWindow="0" yWindow="0" windowWidth="23040" windowHeight="7812"/>
  </bookViews>
  <sheets>
    <sheet name="Compound Interest" sheetId="1" r:id="rId1"/>
    <sheet name="Annuities" sheetId="2" r:id="rId2"/>
    <sheet name="CarLoan" sheetId="3" r:id="rId3"/>
    <sheet name="HouseLoa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1" i="4" l="1"/>
  <c r="G7" i="4"/>
  <c r="K5" i="4" s="1"/>
  <c r="G6" i="4"/>
  <c r="G5" i="4"/>
  <c r="J4" i="4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G18" i="3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D18" i="3"/>
  <c r="A18" i="3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G17" i="3"/>
  <c r="D17" i="3"/>
  <c r="A17" i="3"/>
  <c r="D16" i="3"/>
  <c r="I15" i="3"/>
  <c r="H15" i="3"/>
  <c r="D15" i="3"/>
  <c r="E15" i="3" s="1"/>
  <c r="B16" i="3" s="1"/>
  <c r="C15" i="3"/>
  <c r="B15" i="3"/>
  <c r="B7" i="3"/>
  <c r="G4" i="3"/>
  <c r="J71" i="3" s="1"/>
  <c r="E12" i="2"/>
  <c r="E10" i="2"/>
  <c r="D8" i="2"/>
  <c r="D7" i="2"/>
  <c r="D6" i="2"/>
  <c r="D5" i="2"/>
  <c r="D4" i="2"/>
  <c r="E8" i="2" s="1"/>
  <c r="B10" i="1"/>
  <c r="B11" i="1" s="1"/>
  <c r="B12" i="1" s="1"/>
  <c r="B13" i="1" s="1"/>
  <c r="B9" i="1"/>
  <c r="B7" i="1"/>
  <c r="C16" i="3" l="1"/>
  <c r="E16" i="3" s="1"/>
  <c r="B17" i="3" s="1"/>
  <c r="J20" i="3"/>
  <c r="J26" i="3"/>
  <c r="J28" i="3"/>
  <c r="J32" i="3"/>
  <c r="J38" i="3"/>
  <c r="J40" i="3"/>
  <c r="J42" i="3"/>
  <c r="J44" i="3"/>
  <c r="J48" i="3"/>
  <c r="J50" i="3"/>
  <c r="J67" i="3"/>
  <c r="J57" i="3"/>
  <c r="J65" i="3"/>
  <c r="J73" i="3"/>
  <c r="K4" i="4"/>
  <c r="L4" i="4" s="1"/>
  <c r="I5" i="4" s="1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4" i="4"/>
  <c r="K290" i="4"/>
  <c r="K286" i="4"/>
  <c r="K282" i="4"/>
  <c r="K278" i="4"/>
  <c r="K274" i="4"/>
  <c r="K270" i="4"/>
  <c r="K266" i="4"/>
  <c r="K262" i="4"/>
  <c r="K258" i="4"/>
  <c r="K254" i="4"/>
  <c r="K250" i="4"/>
  <c r="K246" i="4"/>
  <c r="K242" i="4"/>
  <c r="K238" i="4"/>
  <c r="K295" i="4"/>
  <c r="K291" i="4"/>
  <c r="K287" i="4"/>
  <c r="K283" i="4"/>
  <c r="K279" i="4"/>
  <c r="K275" i="4"/>
  <c r="K271" i="4"/>
  <c r="K267" i="4"/>
  <c r="K263" i="4"/>
  <c r="K259" i="4"/>
  <c r="K255" i="4"/>
  <c r="K251" i="4"/>
  <c r="K247" i="4"/>
  <c r="K243" i="4"/>
  <c r="K239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96" i="4"/>
  <c r="K292" i="4"/>
  <c r="K288" i="4"/>
  <c r="K284" i="4"/>
  <c r="K280" i="4"/>
  <c r="K276" i="4"/>
  <c r="K272" i="4"/>
  <c r="K268" i="4"/>
  <c r="K264" i="4"/>
  <c r="K260" i="4"/>
  <c r="K256" i="4"/>
  <c r="K252" i="4"/>
  <c r="K248" i="4"/>
  <c r="K244" i="4"/>
  <c r="K240" i="4"/>
  <c r="K236" i="4"/>
  <c r="K297" i="4"/>
  <c r="K281" i="4"/>
  <c r="K265" i="4"/>
  <c r="K249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293" i="4"/>
  <c r="K285" i="4"/>
  <c r="K25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77" i="4"/>
  <c r="K269" i="4"/>
  <c r="K241" i="4"/>
  <c r="K289" i="4"/>
  <c r="K261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273" i="4"/>
  <c r="K245" i="4"/>
  <c r="K6" i="4"/>
  <c r="J17" i="3"/>
  <c r="J19" i="3"/>
  <c r="J21" i="3"/>
  <c r="J23" i="3"/>
  <c r="J25" i="3"/>
  <c r="J27" i="3"/>
  <c r="J29" i="3"/>
  <c r="J31" i="3"/>
  <c r="J33" i="3"/>
  <c r="J35" i="3"/>
  <c r="J37" i="3"/>
  <c r="J39" i="3"/>
  <c r="J41" i="3"/>
  <c r="J43" i="3"/>
  <c r="J45" i="3"/>
  <c r="J47" i="3"/>
  <c r="J49" i="3"/>
  <c r="J51" i="3"/>
  <c r="J55" i="3"/>
  <c r="J63" i="3"/>
  <c r="K253" i="4"/>
  <c r="J74" i="3"/>
  <c r="J72" i="3"/>
  <c r="J70" i="3"/>
  <c r="J68" i="3"/>
  <c r="J66" i="3"/>
  <c r="J64" i="3"/>
  <c r="J62" i="3"/>
  <c r="J60" i="3"/>
  <c r="J58" i="3"/>
  <c r="J56" i="3"/>
  <c r="J54" i="3"/>
  <c r="J52" i="3"/>
  <c r="J15" i="3"/>
  <c r="K15" i="3" s="1"/>
  <c r="H16" i="3" s="1"/>
  <c r="J16" i="3"/>
  <c r="J18" i="3"/>
  <c r="J22" i="3"/>
  <c r="J24" i="3"/>
  <c r="J30" i="3"/>
  <c r="J34" i="3"/>
  <c r="J36" i="3"/>
  <c r="J46" i="3"/>
  <c r="J59" i="3"/>
  <c r="J53" i="3"/>
  <c r="J61" i="3"/>
  <c r="J69" i="3"/>
  <c r="K237" i="4"/>
  <c r="J381" i="4"/>
  <c r="L381" i="4"/>
  <c r="I382" i="4" s="1"/>
  <c r="C17" i="3" l="1"/>
  <c r="E17" i="3" s="1"/>
  <c r="B18" i="3" s="1"/>
  <c r="I16" i="3"/>
  <c r="K16" i="3"/>
  <c r="H17" i="3" s="1"/>
  <c r="J382" i="4"/>
  <c r="L382" i="4" s="1"/>
  <c r="I383" i="4" s="1"/>
  <c r="J5" i="4"/>
  <c r="L5" i="4" s="1"/>
  <c r="I6" i="4" s="1"/>
  <c r="J6" i="4" l="1"/>
  <c r="L6" i="4" s="1"/>
  <c r="I7" i="4" s="1"/>
  <c r="J383" i="4"/>
  <c r="L383" i="4" s="1"/>
  <c r="I384" i="4" s="1"/>
  <c r="C18" i="3"/>
  <c r="E18" i="3"/>
  <c r="B19" i="3" s="1"/>
  <c r="I17" i="3"/>
  <c r="K17" i="3" s="1"/>
  <c r="H18" i="3" s="1"/>
  <c r="J384" i="4" l="1"/>
  <c r="L384" i="4" s="1"/>
  <c r="I385" i="4" s="1"/>
  <c r="I18" i="3"/>
  <c r="K18" i="3"/>
  <c r="H19" i="3" s="1"/>
  <c r="J7" i="4"/>
  <c r="L7" i="4" s="1"/>
  <c r="I8" i="4" s="1"/>
  <c r="C19" i="3"/>
  <c r="E19" i="3" s="1"/>
  <c r="B20" i="3" s="1"/>
  <c r="L385" i="4" l="1"/>
  <c r="I386" i="4" s="1"/>
  <c r="J385" i="4"/>
  <c r="C20" i="3"/>
  <c r="E20" i="3" s="1"/>
  <c r="B21" i="3" s="1"/>
  <c r="L8" i="4"/>
  <c r="I9" i="4" s="1"/>
  <c r="J8" i="4"/>
  <c r="I19" i="3"/>
  <c r="K19" i="3" s="1"/>
  <c r="H20" i="3" s="1"/>
  <c r="C21" i="3" l="1"/>
  <c r="E21" i="3" s="1"/>
  <c r="B22" i="3" s="1"/>
  <c r="I20" i="3"/>
  <c r="K20" i="3" s="1"/>
  <c r="H21" i="3" s="1"/>
  <c r="L386" i="4"/>
  <c r="I387" i="4" s="1"/>
  <c r="J386" i="4"/>
  <c r="L9" i="4"/>
  <c r="I10" i="4" s="1"/>
  <c r="J9" i="4"/>
  <c r="C22" i="3" l="1"/>
  <c r="E22" i="3"/>
  <c r="B23" i="3" s="1"/>
  <c r="K21" i="3"/>
  <c r="H22" i="3" s="1"/>
  <c r="I21" i="3"/>
  <c r="L387" i="4"/>
  <c r="I388" i="4" s="1"/>
  <c r="J387" i="4"/>
  <c r="L10" i="4"/>
  <c r="I11" i="4" s="1"/>
  <c r="J10" i="4"/>
  <c r="J11" i="4" l="1"/>
  <c r="L11" i="4" s="1"/>
  <c r="I12" i="4" s="1"/>
  <c r="I22" i="3"/>
  <c r="K22" i="3" s="1"/>
  <c r="H23" i="3" s="1"/>
  <c r="C23" i="3"/>
  <c r="E23" i="3" s="1"/>
  <c r="B24" i="3" s="1"/>
  <c r="J388" i="4"/>
  <c r="L388" i="4" s="1"/>
  <c r="I389" i="4" s="1"/>
  <c r="L389" i="4" l="1"/>
  <c r="I390" i="4" s="1"/>
  <c r="J389" i="4"/>
  <c r="J12" i="4"/>
  <c r="L12" i="4" s="1"/>
  <c r="I13" i="4" s="1"/>
  <c r="C24" i="3"/>
  <c r="E24" i="3" s="1"/>
  <c r="B25" i="3" s="1"/>
  <c r="I23" i="3"/>
  <c r="K23" i="3" s="1"/>
  <c r="H24" i="3" s="1"/>
  <c r="C25" i="3" l="1"/>
  <c r="E25" i="3" s="1"/>
  <c r="B26" i="3" s="1"/>
  <c r="J13" i="4"/>
  <c r="L13" i="4" s="1"/>
  <c r="I14" i="4" s="1"/>
  <c r="I24" i="3"/>
  <c r="K24" i="3"/>
  <c r="H25" i="3" s="1"/>
  <c r="J390" i="4"/>
  <c r="L390" i="4" s="1"/>
  <c r="I391" i="4" s="1"/>
  <c r="J14" i="4" l="1"/>
  <c r="L14" i="4" s="1"/>
  <c r="I15" i="4" s="1"/>
  <c r="J391" i="4"/>
  <c r="L391" i="4" s="1"/>
  <c r="I392" i="4" s="1"/>
  <c r="C26" i="3"/>
  <c r="E26" i="3" s="1"/>
  <c r="B27" i="3" s="1"/>
  <c r="I25" i="3"/>
  <c r="K25" i="3" s="1"/>
  <c r="H26" i="3" s="1"/>
  <c r="C27" i="3" l="1"/>
  <c r="E27" i="3" s="1"/>
  <c r="B28" i="3" s="1"/>
  <c r="I26" i="3"/>
  <c r="K26" i="3"/>
  <c r="H27" i="3" s="1"/>
  <c r="J392" i="4"/>
  <c r="L392" i="4" s="1"/>
  <c r="I393" i="4" s="1"/>
  <c r="J15" i="4"/>
  <c r="L15" i="4" s="1"/>
  <c r="I16" i="4" s="1"/>
  <c r="C28" i="3" l="1"/>
  <c r="E28" i="3" s="1"/>
  <c r="B29" i="3" s="1"/>
  <c r="J16" i="4"/>
  <c r="L16" i="4" s="1"/>
  <c r="I17" i="4" s="1"/>
  <c r="J393" i="4"/>
  <c r="L393" i="4" s="1"/>
  <c r="I394" i="4" s="1"/>
  <c r="I27" i="3"/>
  <c r="K27" i="3" s="1"/>
  <c r="H28" i="3" s="1"/>
  <c r="I28" i="3" l="1"/>
  <c r="K28" i="3" s="1"/>
  <c r="H29" i="3" s="1"/>
  <c r="C29" i="3"/>
  <c r="E29" i="3"/>
  <c r="B30" i="3" s="1"/>
  <c r="L394" i="4"/>
  <c r="I395" i="4" s="1"/>
  <c r="J394" i="4"/>
  <c r="J17" i="4"/>
  <c r="L17" i="4" s="1"/>
  <c r="I18" i="4" s="1"/>
  <c r="K29" i="3" l="1"/>
  <c r="H30" i="3" s="1"/>
  <c r="I29" i="3"/>
  <c r="J18" i="4"/>
  <c r="L18" i="4" s="1"/>
  <c r="I19" i="4" s="1"/>
  <c r="C30" i="3"/>
  <c r="E30" i="3" s="1"/>
  <c r="B31" i="3" s="1"/>
  <c r="J395" i="4"/>
  <c r="L395" i="4" s="1"/>
  <c r="I396" i="4" s="1"/>
  <c r="L396" i="4" l="1"/>
  <c r="I397" i="4" s="1"/>
  <c r="J396" i="4"/>
  <c r="C31" i="3"/>
  <c r="E31" i="3" s="1"/>
  <c r="B32" i="3" s="1"/>
  <c r="L19" i="4"/>
  <c r="I20" i="4" s="1"/>
  <c r="J19" i="4"/>
  <c r="I30" i="3"/>
  <c r="K30" i="3"/>
  <c r="H31" i="3" s="1"/>
  <c r="C32" i="3" l="1"/>
  <c r="E32" i="3" s="1"/>
  <c r="B33" i="3" s="1"/>
  <c r="J397" i="4"/>
  <c r="L397" i="4" s="1"/>
  <c r="I398" i="4" s="1"/>
  <c r="J20" i="4"/>
  <c r="L20" i="4" s="1"/>
  <c r="I21" i="4" s="1"/>
  <c r="I31" i="3"/>
  <c r="K31" i="3" s="1"/>
  <c r="H32" i="3" s="1"/>
  <c r="I32" i="3" l="1"/>
  <c r="K32" i="3" s="1"/>
  <c r="H33" i="3" s="1"/>
  <c r="J21" i="4"/>
  <c r="L21" i="4" s="1"/>
  <c r="I22" i="4" s="1"/>
  <c r="J398" i="4"/>
  <c r="L398" i="4" s="1"/>
  <c r="I399" i="4" s="1"/>
  <c r="C33" i="3"/>
  <c r="E33" i="3" s="1"/>
  <c r="B34" i="3" s="1"/>
  <c r="C34" i="3" l="1"/>
  <c r="E34" i="3" s="1"/>
  <c r="B35" i="3" s="1"/>
  <c r="J399" i="4"/>
  <c r="L399" i="4" s="1"/>
  <c r="J22" i="4"/>
  <c r="L22" i="4" s="1"/>
  <c r="I23" i="4" s="1"/>
  <c r="I33" i="3"/>
  <c r="K33" i="3" s="1"/>
  <c r="H34" i="3" s="1"/>
  <c r="J23" i="4" l="1"/>
  <c r="L23" i="4" s="1"/>
  <c r="I24" i="4" s="1"/>
  <c r="I34" i="3"/>
  <c r="K34" i="3" s="1"/>
  <c r="H35" i="3" s="1"/>
  <c r="C35" i="3"/>
  <c r="E35" i="3" s="1"/>
  <c r="B36" i="3" s="1"/>
  <c r="I35" i="3" l="1"/>
  <c r="K35" i="3" s="1"/>
  <c r="H36" i="3" s="1"/>
  <c r="J24" i="4"/>
  <c r="L24" i="4" s="1"/>
  <c r="I25" i="4" s="1"/>
  <c r="C36" i="3"/>
  <c r="E36" i="3"/>
  <c r="B37" i="3" s="1"/>
  <c r="J25" i="4" l="1"/>
  <c r="L25" i="4" s="1"/>
  <c r="I26" i="4" s="1"/>
  <c r="I36" i="3"/>
  <c r="K36" i="3" s="1"/>
  <c r="H37" i="3" s="1"/>
  <c r="C37" i="3"/>
  <c r="E37" i="3" s="1"/>
  <c r="B38" i="3" s="1"/>
  <c r="J26" i="4" l="1"/>
  <c r="L26" i="4" s="1"/>
  <c r="I27" i="4" s="1"/>
  <c r="C38" i="3"/>
  <c r="E38" i="3" s="1"/>
  <c r="B39" i="3" s="1"/>
  <c r="I37" i="3"/>
  <c r="K37" i="3" s="1"/>
  <c r="H38" i="3" s="1"/>
  <c r="I38" i="3" l="1"/>
  <c r="K38" i="3"/>
  <c r="H39" i="3" s="1"/>
  <c r="C39" i="3"/>
  <c r="E39" i="3" s="1"/>
  <c r="B40" i="3" s="1"/>
  <c r="J27" i="4"/>
  <c r="L27" i="4" s="1"/>
  <c r="I28" i="4" s="1"/>
  <c r="J28" i="4" l="1"/>
  <c r="L28" i="4" s="1"/>
  <c r="I29" i="4" s="1"/>
  <c r="C40" i="3"/>
  <c r="E40" i="3" s="1"/>
  <c r="B41" i="3" s="1"/>
  <c r="I39" i="3"/>
  <c r="K39" i="3" s="1"/>
  <c r="H40" i="3" s="1"/>
  <c r="C41" i="3" l="1"/>
  <c r="E41" i="3"/>
  <c r="B42" i="3" s="1"/>
  <c r="J29" i="4"/>
  <c r="L29" i="4" s="1"/>
  <c r="I30" i="4" s="1"/>
  <c r="I40" i="3"/>
  <c r="K40" i="3"/>
  <c r="H41" i="3" s="1"/>
  <c r="L30" i="4" l="1"/>
  <c r="I31" i="4" s="1"/>
  <c r="J30" i="4"/>
  <c r="I41" i="3"/>
  <c r="K41" i="3" s="1"/>
  <c r="H42" i="3" s="1"/>
  <c r="C42" i="3"/>
  <c r="E42" i="3" s="1"/>
  <c r="B43" i="3" s="1"/>
  <c r="C43" i="3" l="1"/>
  <c r="E43" i="3" s="1"/>
  <c r="B44" i="3" s="1"/>
  <c r="I42" i="3"/>
  <c r="K42" i="3" s="1"/>
  <c r="H43" i="3" s="1"/>
  <c r="L31" i="4"/>
  <c r="I32" i="4" s="1"/>
  <c r="J31" i="4"/>
  <c r="I43" i="3" l="1"/>
  <c r="K43" i="3" s="1"/>
  <c r="H44" i="3" s="1"/>
  <c r="C44" i="3"/>
  <c r="E44" i="3" s="1"/>
  <c r="B45" i="3" s="1"/>
  <c r="J32" i="4"/>
  <c r="L32" i="4" s="1"/>
  <c r="I33" i="4" s="1"/>
  <c r="J33" i="4" l="1"/>
  <c r="L33" i="4" s="1"/>
  <c r="I34" i="4" s="1"/>
  <c r="C45" i="3"/>
  <c r="E45" i="3" s="1"/>
  <c r="B46" i="3" s="1"/>
  <c r="I44" i="3"/>
  <c r="K44" i="3"/>
  <c r="H45" i="3" s="1"/>
  <c r="C46" i="3" l="1"/>
  <c r="E46" i="3" s="1"/>
  <c r="B47" i="3" s="1"/>
  <c r="J34" i="4"/>
  <c r="L34" i="4" s="1"/>
  <c r="I35" i="4" s="1"/>
  <c r="I45" i="3"/>
  <c r="K45" i="3" s="1"/>
  <c r="H46" i="3" s="1"/>
  <c r="E47" i="3" l="1"/>
  <c r="B48" i="3" s="1"/>
  <c r="C47" i="3"/>
  <c r="I46" i="3"/>
  <c r="K46" i="3" s="1"/>
  <c r="H47" i="3" s="1"/>
  <c r="L35" i="4"/>
  <c r="I36" i="4" s="1"/>
  <c r="J35" i="4"/>
  <c r="K47" i="3" l="1"/>
  <c r="H48" i="3" s="1"/>
  <c r="I47" i="3"/>
  <c r="C48" i="3"/>
  <c r="E48" i="3" s="1"/>
  <c r="B49" i="3" s="1"/>
  <c r="L36" i="4"/>
  <c r="I37" i="4" s="1"/>
  <c r="J36" i="4"/>
  <c r="C49" i="3" l="1"/>
  <c r="E49" i="3" s="1"/>
  <c r="B50" i="3" s="1"/>
  <c r="J37" i="4"/>
  <c r="L37" i="4" s="1"/>
  <c r="I38" i="4" s="1"/>
  <c r="I48" i="3"/>
  <c r="K48" i="3"/>
  <c r="H49" i="3" s="1"/>
  <c r="E50" i="3" l="1"/>
  <c r="B51" i="3" s="1"/>
  <c r="C50" i="3"/>
  <c r="J38" i="4"/>
  <c r="L38" i="4" s="1"/>
  <c r="I39" i="4" s="1"/>
  <c r="K49" i="3"/>
  <c r="H50" i="3" s="1"/>
  <c r="I49" i="3"/>
  <c r="L39" i="4" l="1"/>
  <c r="I40" i="4" s="1"/>
  <c r="J39" i="4"/>
  <c r="I50" i="3"/>
  <c r="K50" i="3" s="1"/>
  <c r="H51" i="3" s="1"/>
  <c r="E51" i="3"/>
  <c r="B52" i="3" s="1"/>
  <c r="C51" i="3"/>
  <c r="K51" i="3" l="1"/>
  <c r="H52" i="3" s="1"/>
  <c r="I51" i="3"/>
  <c r="J40" i="4"/>
  <c r="L40" i="4" s="1"/>
  <c r="I41" i="4" s="1"/>
  <c r="E52" i="3"/>
  <c r="B53" i="3" s="1"/>
  <c r="C52" i="3"/>
  <c r="J41" i="4" l="1"/>
  <c r="L41" i="4" s="1"/>
  <c r="I42" i="4" s="1"/>
  <c r="I52" i="3"/>
  <c r="K52" i="3" s="1"/>
  <c r="H53" i="3" s="1"/>
  <c r="C53" i="3"/>
  <c r="E53" i="3"/>
  <c r="B54" i="3" s="1"/>
  <c r="I53" i="3" l="1"/>
  <c r="K53" i="3"/>
  <c r="H54" i="3" s="1"/>
  <c r="J42" i="4"/>
  <c r="L42" i="4" s="1"/>
  <c r="I43" i="4" s="1"/>
  <c r="C54" i="3"/>
  <c r="E54" i="3" s="1"/>
  <c r="B55" i="3" s="1"/>
  <c r="C55" i="3" l="1"/>
  <c r="E55" i="3" s="1"/>
  <c r="B56" i="3" s="1"/>
  <c r="J43" i="4"/>
  <c r="L43" i="4" s="1"/>
  <c r="I44" i="4" s="1"/>
  <c r="I54" i="3"/>
  <c r="K54" i="3" s="1"/>
  <c r="H55" i="3" s="1"/>
  <c r="J44" i="4" l="1"/>
  <c r="L44" i="4" s="1"/>
  <c r="I45" i="4" s="1"/>
  <c r="I55" i="3"/>
  <c r="K55" i="3"/>
  <c r="H56" i="3" s="1"/>
  <c r="C56" i="3"/>
  <c r="E56" i="3" s="1"/>
  <c r="B57" i="3" s="1"/>
  <c r="C57" i="3" l="1"/>
  <c r="E57" i="3"/>
  <c r="B58" i="3" s="1"/>
  <c r="J45" i="4"/>
  <c r="L45" i="4" s="1"/>
  <c r="I46" i="4" s="1"/>
  <c r="I56" i="3"/>
  <c r="K56" i="3" s="1"/>
  <c r="H57" i="3" s="1"/>
  <c r="I57" i="3" l="1"/>
  <c r="K57" i="3" s="1"/>
  <c r="H58" i="3" s="1"/>
  <c r="J46" i="4"/>
  <c r="L46" i="4" s="1"/>
  <c r="I47" i="4" s="1"/>
  <c r="E58" i="3"/>
  <c r="B59" i="3" s="1"/>
  <c r="C58" i="3"/>
  <c r="J47" i="4" l="1"/>
  <c r="L47" i="4" s="1"/>
  <c r="I48" i="4" s="1"/>
  <c r="I58" i="3"/>
  <c r="K58" i="3" s="1"/>
  <c r="H59" i="3" s="1"/>
  <c r="C59" i="3"/>
  <c r="E59" i="3"/>
  <c r="B60" i="3" s="1"/>
  <c r="I59" i="3" l="1"/>
  <c r="K59" i="3"/>
  <c r="H60" i="3" s="1"/>
  <c r="J48" i="4"/>
  <c r="L48" i="4" s="1"/>
  <c r="I49" i="4" s="1"/>
  <c r="C60" i="3"/>
  <c r="E60" i="3" s="1"/>
  <c r="B61" i="3" s="1"/>
  <c r="C61" i="3" l="1"/>
  <c r="E61" i="3"/>
  <c r="B62" i="3" s="1"/>
  <c r="J49" i="4"/>
  <c r="L49" i="4" s="1"/>
  <c r="I50" i="4" s="1"/>
  <c r="I60" i="3"/>
  <c r="K60" i="3" s="1"/>
  <c r="H61" i="3" s="1"/>
  <c r="I61" i="3" l="1"/>
  <c r="K61" i="3"/>
  <c r="H62" i="3" s="1"/>
  <c r="J50" i="4"/>
  <c r="L50" i="4" s="1"/>
  <c r="I51" i="4" s="1"/>
  <c r="C62" i="3"/>
  <c r="E62" i="3" s="1"/>
  <c r="B63" i="3" s="1"/>
  <c r="C63" i="3" l="1"/>
  <c r="E63" i="3" s="1"/>
  <c r="B64" i="3" s="1"/>
  <c r="J51" i="4"/>
  <c r="L51" i="4" s="1"/>
  <c r="I52" i="4" s="1"/>
  <c r="K62" i="3"/>
  <c r="H63" i="3" s="1"/>
  <c r="I62" i="3"/>
  <c r="J52" i="4" l="1"/>
  <c r="L52" i="4" s="1"/>
  <c r="I53" i="4" s="1"/>
  <c r="C64" i="3"/>
  <c r="E64" i="3" s="1"/>
  <c r="B65" i="3" s="1"/>
  <c r="I63" i="3"/>
  <c r="K63" i="3"/>
  <c r="H64" i="3" s="1"/>
  <c r="C65" i="3" l="1"/>
  <c r="E65" i="3"/>
  <c r="B66" i="3" s="1"/>
  <c r="J53" i="4"/>
  <c r="L53" i="4" s="1"/>
  <c r="I54" i="4" s="1"/>
  <c r="I64" i="3"/>
  <c r="K64" i="3" s="1"/>
  <c r="H65" i="3" s="1"/>
  <c r="I65" i="3" l="1"/>
  <c r="K65" i="3"/>
  <c r="H66" i="3" s="1"/>
  <c r="J54" i="4"/>
  <c r="L54" i="4" s="1"/>
  <c r="I55" i="4" s="1"/>
  <c r="C66" i="3"/>
  <c r="E66" i="3" s="1"/>
  <c r="B67" i="3" s="1"/>
  <c r="C67" i="3" l="1"/>
  <c r="E67" i="3"/>
  <c r="B68" i="3" s="1"/>
  <c r="J55" i="4"/>
  <c r="L55" i="4" s="1"/>
  <c r="I56" i="4" s="1"/>
  <c r="I66" i="3"/>
  <c r="K66" i="3" s="1"/>
  <c r="H67" i="3" s="1"/>
  <c r="I67" i="3" l="1"/>
  <c r="K67" i="3"/>
  <c r="H68" i="3" s="1"/>
  <c r="J56" i="4"/>
  <c r="L56" i="4" s="1"/>
  <c r="I57" i="4" s="1"/>
  <c r="C68" i="3"/>
  <c r="E68" i="3" s="1"/>
  <c r="B69" i="3" s="1"/>
  <c r="J57" i="4" l="1"/>
  <c r="L57" i="4" s="1"/>
  <c r="I58" i="4" s="1"/>
  <c r="C69" i="3"/>
  <c r="E69" i="3"/>
  <c r="B70" i="3" s="1"/>
  <c r="I68" i="3"/>
  <c r="K68" i="3" s="1"/>
  <c r="H69" i="3" s="1"/>
  <c r="I69" i="3" l="1"/>
  <c r="K69" i="3"/>
  <c r="H70" i="3" s="1"/>
  <c r="J58" i="4"/>
  <c r="L58" i="4" s="1"/>
  <c r="I59" i="4" s="1"/>
  <c r="C70" i="3"/>
  <c r="E70" i="3" s="1"/>
  <c r="B71" i="3" s="1"/>
  <c r="C71" i="3" l="1"/>
  <c r="E71" i="3"/>
  <c r="B72" i="3" s="1"/>
  <c r="J59" i="4"/>
  <c r="L59" i="4" s="1"/>
  <c r="I60" i="4" s="1"/>
  <c r="I70" i="3"/>
  <c r="K70" i="3" s="1"/>
  <c r="H71" i="3" s="1"/>
  <c r="J60" i="4" l="1"/>
  <c r="L60" i="4" s="1"/>
  <c r="I61" i="4" s="1"/>
  <c r="I71" i="3"/>
  <c r="K71" i="3"/>
  <c r="H72" i="3" s="1"/>
  <c r="C72" i="3"/>
  <c r="E72" i="3" s="1"/>
  <c r="B73" i="3" s="1"/>
  <c r="C73" i="3" l="1"/>
  <c r="E73" i="3"/>
  <c r="B74" i="3" s="1"/>
  <c r="J61" i="4"/>
  <c r="L61" i="4" s="1"/>
  <c r="I62" i="4" s="1"/>
  <c r="I72" i="3"/>
  <c r="K72" i="3" s="1"/>
  <c r="H73" i="3" s="1"/>
  <c r="I73" i="3" l="1"/>
  <c r="K73" i="3"/>
  <c r="H74" i="3" s="1"/>
  <c r="J62" i="4"/>
  <c r="L62" i="4" s="1"/>
  <c r="I63" i="4" s="1"/>
  <c r="C74" i="3"/>
  <c r="E74" i="3" s="1"/>
  <c r="B75" i="3" s="1"/>
  <c r="C75" i="3" l="1"/>
  <c r="E75" i="3"/>
  <c r="B76" i="3" s="1"/>
  <c r="J63" i="4"/>
  <c r="L63" i="4" s="1"/>
  <c r="I64" i="4" s="1"/>
  <c r="I74" i="3"/>
  <c r="K74" i="3" s="1"/>
  <c r="J64" i="4" l="1"/>
  <c r="L64" i="4" s="1"/>
  <c r="I65" i="4" s="1"/>
  <c r="C76" i="3"/>
  <c r="E76" i="3" s="1"/>
  <c r="B77" i="3" s="1"/>
  <c r="C77" i="3" l="1"/>
  <c r="E77" i="3" s="1"/>
  <c r="B78" i="3" s="1"/>
  <c r="J65" i="4"/>
  <c r="L65" i="4" s="1"/>
  <c r="I66" i="4" s="1"/>
  <c r="J66" i="4" l="1"/>
  <c r="L66" i="4" s="1"/>
  <c r="I67" i="4" s="1"/>
  <c r="C78" i="3"/>
  <c r="E78" i="3" s="1"/>
  <c r="B79" i="3" s="1"/>
  <c r="C79" i="3" l="1"/>
  <c r="E79" i="3"/>
  <c r="B80" i="3" s="1"/>
  <c r="J67" i="4"/>
  <c r="L67" i="4" s="1"/>
  <c r="I68" i="4" s="1"/>
  <c r="J68" i="4" l="1"/>
  <c r="L68" i="4" s="1"/>
  <c r="I69" i="4" s="1"/>
  <c r="C80" i="3"/>
  <c r="E80" i="3"/>
  <c r="B81" i="3" s="1"/>
  <c r="J69" i="4" l="1"/>
  <c r="L69" i="4" s="1"/>
  <c r="I70" i="4" s="1"/>
  <c r="C81" i="3"/>
  <c r="E81" i="3" s="1"/>
  <c r="J70" i="4" l="1"/>
  <c r="L70" i="4" s="1"/>
  <c r="I71" i="4" s="1"/>
  <c r="J71" i="4" l="1"/>
  <c r="L71" i="4" s="1"/>
  <c r="I72" i="4" s="1"/>
  <c r="J72" i="4" l="1"/>
  <c r="L72" i="4" s="1"/>
  <c r="I73" i="4" s="1"/>
  <c r="J73" i="4" l="1"/>
  <c r="L73" i="4" s="1"/>
  <c r="I74" i="4" s="1"/>
  <c r="J74" i="4" l="1"/>
  <c r="L74" i="4" s="1"/>
  <c r="I75" i="4" s="1"/>
  <c r="J75" i="4" l="1"/>
  <c r="L75" i="4" s="1"/>
  <c r="I76" i="4" s="1"/>
  <c r="L76" i="4" l="1"/>
  <c r="I77" i="4" s="1"/>
  <c r="J76" i="4"/>
  <c r="J77" i="4" l="1"/>
  <c r="L77" i="4" s="1"/>
  <c r="I78" i="4" s="1"/>
  <c r="L78" i="4" l="1"/>
  <c r="I79" i="4" s="1"/>
  <c r="J78" i="4"/>
  <c r="J79" i="4" l="1"/>
  <c r="L79" i="4" s="1"/>
  <c r="I80" i="4" s="1"/>
  <c r="J80" i="4" l="1"/>
  <c r="L80" i="4" s="1"/>
  <c r="I81" i="4" s="1"/>
  <c r="J81" i="4" l="1"/>
  <c r="L81" i="4" s="1"/>
  <c r="I82" i="4" s="1"/>
  <c r="J82" i="4" l="1"/>
  <c r="L82" i="4" s="1"/>
  <c r="I83" i="4" s="1"/>
  <c r="L83" i="4" l="1"/>
  <c r="I84" i="4" s="1"/>
  <c r="J83" i="4"/>
  <c r="L84" i="4" l="1"/>
  <c r="I85" i="4" s="1"/>
  <c r="J84" i="4"/>
  <c r="J85" i="4" l="1"/>
  <c r="L85" i="4" s="1"/>
  <c r="I86" i="4" s="1"/>
  <c r="J86" i="4" l="1"/>
  <c r="L86" i="4" s="1"/>
  <c r="I87" i="4" s="1"/>
  <c r="L87" i="4" l="1"/>
  <c r="I88" i="4" s="1"/>
  <c r="J87" i="4"/>
  <c r="L88" i="4" l="1"/>
  <c r="I89" i="4" s="1"/>
  <c r="J88" i="4"/>
  <c r="L89" i="4" l="1"/>
  <c r="I90" i="4" s="1"/>
  <c r="J89" i="4"/>
  <c r="J90" i="4" l="1"/>
  <c r="L90" i="4" s="1"/>
  <c r="I91" i="4" s="1"/>
  <c r="J91" i="4" l="1"/>
  <c r="L91" i="4" s="1"/>
  <c r="I92" i="4" s="1"/>
  <c r="L92" i="4" l="1"/>
  <c r="I93" i="4" s="1"/>
  <c r="J92" i="4"/>
  <c r="J93" i="4" l="1"/>
  <c r="L93" i="4"/>
  <c r="I94" i="4" s="1"/>
  <c r="J94" i="4" l="1"/>
  <c r="L94" i="4" s="1"/>
  <c r="I95" i="4" s="1"/>
  <c r="J95" i="4" l="1"/>
  <c r="L95" i="4" s="1"/>
  <c r="I96" i="4" s="1"/>
  <c r="J96" i="4" l="1"/>
  <c r="L96" i="4" s="1"/>
  <c r="I97" i="4" s="1"/>
  <c r="L97" i="4" l="1"/>
  <c r="I98" i="4" s="1"/>
  <c r="J97" i="4"/>
  <c r="J98" i="4" l="1"/>
  <c r="L98" i="4" s="1"/>
  <c r="I99" i="4" s="1"/>
  <c r="L99" i="4" l="1"/>
  <c r="I100" i="4" s="1"/>
  <c r="J99" i="4"/>
  <c r="L100" i="4" l="1"/>
  <c r="I101" i="4" s="1"/>
  <c r="J100" i="4"/>
  <c r="J101" i="4" l="1"/>
  <c r="L101" i="4" s="1"/>
  <c r="I102" i="4" s="1"/>
  <c r="J102" i="4" l="1"/>
  <c r="L102" i="4" s="1"/>
  <c r="I103" i="4" s="1"/>
  <c r="J103" i="4" l="1"/>
  <c r="L103" i="4" s="1"/>
  <c r="I104" i="4" s="1"/>
  <c r="J104" i="4" l="1"/>
  <c r="L104" i="4" s="1"/>
  <c r="I105" i="4" s="1"/>
  <c r="J105" i="4" l="1"/>
  <c r="L105" i="4" s="1"/>
  <c r="I106" i="4" s="1"/>
  <c r="J106" i="4" l="1"/>
  <c r="L106" i="4" s="1"/>
  <c r="I107" i="4" s="1"/>
  <c r="J107" i="4" l="1"/>
  <c r="L107" i="4" s="1"/>
  <c r="I108" i="4" s="1"/>
  <c r="J108" i="4" l="1"/>
  <c r="L108" i="4" s="1"/>
  <c r="I109" i="4" s="1"/>
  <c r="J109" i="4" l="1"/>
  <c r="L109" i="4"/>
  <c r="I110" i="4" s="1"/>
  <c r="J110" i="4" l="1"/>
  <c r="L110" i="4" s="1"/>
  <c r="I111" i="4" s="1"/>
  <c r="J111" i="4" l="1"/>
  <c r="L111" i="4" s="1"/>
  <c r="I112" i="4" s="1"/>
  <c r="J112" i="4" l="1"/>
  <c r="L112" i="4" s="1"/>
  <c r="I113" i="4" s="1"/>
  <c r="J113" i="4" l="1"/>
  <c r="L113" i="4" s="1"/>
  <c r="I114" i="4" s="1"/>
  <c r="J114" i="4" l="1"/>
  <c r="L114" i="4" s="1"/>
  <c r="I115" i="4" s="1"/>
  <c r="J115" i="4" l="1"/>
  <c r="L115" i="4" s="1"/>
  <c r="I116" i="4" s="1"/>
  <c r="J116" i="4" l="1"/>
  <c r="L116" i="4" s="1"/>
  <c r="I117" i="4" s="1"/>
  <c r="J117" i="4" l="1"/>
  <c r="L117" i="4" s="1"/>
  <c r="I118" i="4" s="1"/>
  <c r="J118" i="4" l="1"/>
  <c r="L118" i="4" s="1"/>
  <c r="I119" i="4" s="1"/>
  <c r="J119" i="4" l="1"/>
  <c r="L119" i="4" s="1"/>
  <c r="I120" i="4" s="1"/>
  <c r="J120" i="4" l="1"/>
  <c r="L120" i="4" s="1"/>
  <c r="I121" i="4" s="1"/>
  <c r="J121" i="4" l="1"/>
  <c r="L121" i="4" s="1"/>
  <c r="I122" i="4" s="1"/>
  <c r="J122" i="4" l="1"/>
  <c r="L122" i="4" s="1"/>
  <c r="I123" i="4" s="1"/>
  <c r="J123" i="4" l="1"/>
  <c r="L123" i="4" s="1"/>
  <c r="I124" i="4" s="1"/>
  <c r="J124" i="4" l="1"/>
  <c r="L124" i="4" s="1"/>
  <c r="I125" i="4" s="1"/>
  <c r="J125" i="4" l="1"/>
  <c r="L125" i="4"/>
  <c r="I126" i="4" s="1"/>
  <c r="J126" i="4" l="1"/>
  <c r="L126" i="4" s="1"/>
  <c r="I127" i="4" s="1"/>
  <c r="J127" i="4" l="1"/>
  <c r="L127" i="4" s="1"/>
  <c r="I128" i="4" s="1"/>
  <c r="J128" i="4" l="1"/>
  <c r="L128" i="4" s="1"/>
  <c r="I129" i="4" s="1"/>
  <c r="J129" i="4" l="1"/>
  <c r="L129" i="4" s="1"/>
  <c r="I130" i="4" s="1"/>
  <c r="J130" i="4" l="1"/>
  <c r="L130" i="4" s="1"/>
  <c r="I131" i="4" s="1"/>
  <c r="J131" i="4" l="1"/>
  <c r="L131" i="4" s="1"/>
  <c r="I132" i="4" s="1"/>
  <c r="J132" i="4" l="1"/>
  <c r="L132" i="4" s="1"/>
  <c r="I133" i="4" s="1"/>
  <c r="J133" i="4" l="1"/>
  <c r="L133" i="4" s="1"/>
  <c r="I134" i="4" s="1"/>
  <c r="J134" i="4" l="1"/>
  <c r="L134" i="4" s="1"/>
  <c r="I135" i="4" s="1"/>
  <c r="J135" i="4" l="1"/>
  <c r="L135" i="4" s="1"/>
  <c r="I136" i="4" s="1"/>
  <c r="J136" i="4" l="1"/>
  <c r="L136" i="4" s="1"/>
  <c r="I137" i="4" s="1"/>
  <c r="J137" i="4" l="1"/>
  <c r="L137" i="4" s="1"/>
  <c r="I138" i="4" s="1"/>
  <c r="J138" i="4" l="1"/>
  <c r="L138" i="4" s="1"/>
  <c r="I139" i="4" s="1"/>
  <c r="J139" i="4" l="1"/>
  <c r="L139" i="4" s="1"/>
  <c r="I140" i="4" s="1"/>
  <c r="J140" i="4" l="1"/>
  <c r="L140" i="4" s="1"/>
  <c r="I141" i="4" s="1"/>
  <c r="J141" i="4" l="1"/>
  <c r="L141" i="4"/>
  <c r="I142" i="4" s="1"/>
  <c r="J142" i="4" l="1"/>
  <c r="L142" i="4" s="1"/>
  <c r="I143" i="4" s="1"/>
  <c r="J143" i="4" l="1"/>
  <c r="L143" i="4" s="1"/>
  <c r="I144" i="4" s="1"/>
  <c r="J144" i="4" l="1"/>
  <c r="L144" i="4" s="1"/>
  <c r="I145" i="4" s="1"/>
  <c r="J145" i="4" l="1"/>
  <c r="L145" i="4" s="1"/>
  <c r="I146" i="4" s="1"/>
  <c r="J146" i="4" l="1"/>
  <c r="L146" i="4" s="1"/>
  <c r="I147" i="4" s="1"/>
  <c r="J147" i="4" l="1"/>
  <c r="L147" i="4" s="1"/>
  <c r="I148" i="4" s="1"/>
  <c r="J148" i="4" l="1"/>
  <c r="L148" i="4" s="1"/>
  <c r="I149" i="4" s="1"/>
  <c r="J149" i="4" l="1"/>
  <c r="L149" i="4" s="1"/>
  <c r="I150" i="4" s="1"/>
  <c r="J150" i="4" l="1"/>
  <c r="L150" i="4" s="1"/>
  <c r="I151" i="4" s="1"/>
  <c r="J151" i="4" l="1"/>
  <c r="L151" i="4" s="1"/>
  <c r="I152" i="4" s="1"/>
  <c r="J152" i="4" l="1"/>
  <c r="L152" i="4" s="1"/>
  <c r="I153" i="4" s="1"/>
  <c r="J153" i="4" l="1"/>
  <c r="L153" i="4" s="1"/>
  <c r="I154" i="4" s="1"/>
  <c r="J154" i="4" l="1"/>
  <c r="L154" i="4" s="1"/>
  <c r="I155" i="4" s="1"/>
  <c r="J155" i="4" l="1"/>
  <c r="L155" i="4" s="1"/>
  <c r="I156" i="4" s="1"/>
  <c r="J156" i="4" l="1"/>
  <c r="L156" i="4" s="1"/>
  <c r="I157" i="4" s="1"/>
  <c r="J157" i="4" l="1"/>
  <c r="L157" i="4" s="1"/>
  <c r="I158" i="4" s="1"/>
  <c r="J158" i="4" l="1"/>
  <c r="L158" i="4" s="1"/>
  <c r="I159" i="4" s="1"/>
  <c r="J159" i="4" l="1"/>
  <c r="L159" i="4" s="1"/>
  <c r="I160" i="4" s="1"/>
  <c r="J160" i="4" l="1"/>
  <c r="L160" i="4" s="1"/>
  <c r="I161" i="4" s="1"/>
  <c r="J161" i="4" l="1"/>
  <c r="L161" i="4" s="1"/>
  <c r="I162" i="4" s="1"/>
  <c r="J162" i="4" l="1"/>
  <c r="L162" i="4" s="1"/>
  <c r="I163" i="4" s="1"/>
  <c r="J163" i="4" l="1"/>
  <c r="L163" i="4" s="1"/>
  <c r="I164" i="4" s="1"/>
  <c r="J164" i="4" l="1"/>
  <c r="L164" i="4" s="1"/>
  <c r="I165" i="4" s="1"/>
  <c r="J165" i="4" l="1"/>
  <c r="L165" i="4" s="1"/>
  <c r="I166" i="4" s="1"/>
  <c r="L166" i="4" l="1"/>
  <c r="I167" i="4" s="1"/>
  <c r="J166" i="4"/>
  <c r="J167" i="4" l="1"/>
  <c r="L167" i="4" s="1"/>
  <c r="I168" i="4" s="1"/>
  <c r="J168" i="4" l="1"/>
  <c r="L168" i="4" s="1"/>
  <c r="I169" i="4" s="1"/>
  <c r="J169" i="4" l="1"/>
  <c r="L169" i="4" s="1"/>
  <c r="I170" i="4" s="1"/>
  <c r="J170" i="4" l="1"/>
  <c r="L170" i="4" s="1"/>
  <c r="I171" i="4" s="1"/>
  <c r="J171" i="4" l="1"/>
  <c r="L171" i="4" s="1"/>
  <c r="I172" i="4" s="1"/>
  <c r="J172" i="4" l="1"/>
  <c r="L172" i="4" s="1"/>
  <c r="I173" i="4" s="1"/>
  <c r="J173" i="4" l="1"/>
  <c r="L173" i="4"/>
  <c r="I174" i="4" s="1"/>
  <c r="L174" i="4" l="1"/>
  <c r="I175" i="4" s="1"/>
  <c r="J174" i="4"/>
  <c r="J175" i="4" l="1"/>
  <c r="L175" i="4" s="1"/>
  <c r="I176" i="4" s="1"/>
  <c r="J176" i="4" l="1"/>
  <c r="L176" i="4" s="1"/>
  <c r="I177" i="4" s="1"/>
  <c r="J177" i="4" l="1"/>
  <c r="L177" i="4" s="1"/>
  <c r="I178" i="4" s="1"/>
  <c r="J178" i="4" l="1"/>
  <c r="L178" i="4" s="1"/>
  <c r="I179" i="4" s="1"/>
  <c r="J179" i="4" l="1"/>
  <c r="L179" i="4" s="1"/>
  <c r="I180" i="4" s="1"/>
  <c r="J180" i="4" l="1"/>
  <c r="L180" i="4" s="1"/>
  <c r="I181" i="4" s="1"/>
  <c r="J181" i="4" l="1"/>
  <c r="L181" i="4" s="1"/>
  <c r="I182" i="4" s="1"/>
  <c r="J182" i="4" l="1"/>
  <c r="L182" i="4" s="1"/>
  <c r="I183" i="4" s="1"/>
  <c r="J183" i="4" l="1"/>
  <c r="L183" i="4" s="1"/>
  <c r="I184" i="4" s="1"/>
  <c r="J184" i="4" l="1"/>
  <c r="L184" i="4" s="1"/>
  <c r="I185" i="4" s="1"/>
  <c r="J185" i="4" l="1"/>
  <c r="L185" i="4" s="1"/>
  <c r="I186" i="4" s="1"/>
  <c r="J186" i="4" l="1"/>
  <c r="L186" i="4" s="1"/>
  <c r="I187" i="4" s="1"/>
  <c r="J187" i="4" l="1"/>
  <c r="L187" i="4" s="1"/>
  <c r="I188" i="4" s="1"/>
  <c r="J188" i="4" l="1"/>
  <c r="L188" i="4" s="1"/>
  <c r="I189" i="4" s="1"/>
  <c r="J189" i="4" l="1"/>
  <c r="L189" i="4" s="1"/>
  <c r="I190" i="4" s="1"/>
  <c r="J190" i="4" l="1"/>
  <c r="L190" i="4" s="1"/>
  <c r="I191" i="4" s="1"/>
  <c r="J191" i="4" l="1"/>
  <c r="L191" i="4" s="1"/>
  <c r="I192" i="4" s="1"/>
  <c r="J192" i="4" l="1"/>
  <c r="L192" i="4" s="1"/>
  <c r="I193" i="4" s="1"/>
  <c r="J193" i="4" l="1"/>
  <c r="L193" i="4" s="1"/>
  <c r="I194" i="4" s="1"/>
  <c r="J194" i="4" l="1"/>
  <c r="L194" i="4" s="1"/>
  <c r="I195" i="4" s="1"/>
  <c r="J195" i="4" l="1"/>
  <c r="L195" i="4" s="1"/>
  <c r="I196" i="4" s="1"/>
  <c r="J196" i="4" l="1"/>
  <c r="L196" i="4" s="1"/>
  <c r="I197" i="4" s="1"/>
  <c r="J197" i="4" l="1"/>
  <c r="L197" i="4" s="1"/>
  <c r="I198" i="4" s="1"/>
  <c r="J198" i="4" l="1"/>
  <c r="L198" i="4" s="1"/>
  <c r="I199" i="4" s="1"/>
  <c r="J199" i="4" l="1"/>
  <c r="L199" i="4" s="1"/>
  <c r="I200" i="4" s="1"/>
  <c r="J200" i="4" l="1"/>
  <c r="L200" i="4" s="1"/>
  <c r="I201" i="4" s="1"/>
  <c r="J201" i="4" l="1"/>
  <c r="L201" i="4" s="1"/>
  <c r="I202" i="4" s="1"/>
  <c r="J202" i="4" l="1"/>
  <c r="L202" i="4" s="1"/>
  <c r="I203" i="4" s="1"/>
  <c r="J203" i="4" l="1"/>
  <c r="L203" i="4" s="1"/>
  <c r="I204" i="4" s="1"/>
  <c r="J204" i="4" l="1"/>
  <c r="L204" i="4" s="1"/>
  <c r="I205" i="4" s="1"/>
  <c r="J205" i="4" l="1"/>
  <c r="L205" i="4"/>
  <c r="I206" i="4" s="1"/>
  <c r="J206" i="4" l="1"/>
  <c r="L206" i="4" s="1"/>
  <c r="I207" i="4" s="1"/>
  <c r="J207" i="4" l="1"/>
  <c r="L207" i="4" s="1"/>
  <c r="I208" i="4" s="1"/>
  <c r="J208" i="4" l="1"/>
  <c r="L208" i="4" s="1"/>
  <c r="I209" i="4" s="1"/>
  <c r="J209" i="4" l="1"/>
  <c r="L209" i="4" s="1"/>
  <c r="I210" i="4" s="1"/>
  <c r="J210" i="4" l="1"/>
  <c r="L210" i="4" s="1"/>
  <c r="I211" i="4" s="1"/>
  <c r="J211" i="4" l="1"/>
  <c r="L211" i="4" s="1"/>
  <c r="I212" i="4" s="1"/>
  <c r="J212" i="4" l="1"/>
  <c r="L212" i="4" s="1"/>
  <c r="I213" i="4" s="1"/>
  <c r="J213" i="4" l="1"/>
  <c r="L213" i="4" s="1"/>
  <c r="I214" i="4" s="1"/>
  <c r="J214" i="4" l="1"/>
  <c r="L214" i="4" s="1"/>
  <c r="I215" i="4" s="1"/>
  <c r="J215" i="4" l="1"/>
  <c r="L215" i="4" s="1"/>
  <c r="I216" i="4" s="1"/>
  <c r="J216" i="4" l="1"/>
  <c r="L216" i="4" s="1"/>
  <c r="I217" i="4" s="1"/>
  <c r="J217" i="4" l="1"/>
  <c r="L217" i="4" s="1"/>
  <c r="I218" i="4" s="1"/>
  <c r="J218" i="4" l="1"/>
  <c r="L218" i="4" s="1"/>
  <c r="I219" i="4" s="1"/>
  <c r="J219" i="4" l="1"/>
  <c r="L219" i="4" s="1"/>
  <c r="I220" i="4" s="1"/>
  <c r="J220" i="4" l="1"/>
  <c r="L220" i="4" s="1"/>
  <c r="I221" i="4" s="1"/>
  <c r="J221" i="4" l="1"/>
  <c r="L221" i="4" s="1"/>
  <c r="I222" i="4" s="1"/>
  <c r="J222" i="4" l="1"/>
  <c r="L222" i="4" s="1"/>
  <c r="I223" i="4" s="1"/>
  <c r="J223" i="4" l="1"/>
  <c r="L223" i="4" s="1"/>
  <c r="I224" i="4" s="1"/>
  <c r="J224" i="4" l="1"/>
  <c r="L224" i="4" s="1"/>
  <c r="I225" i="4" s="1"/>
  <c r="J225" i="4" l="1"/>
  <c r="L225" i="4" s="1"/>
  <c r="I226" i="4" s="1"/>
  <c r="J226" i="4" l="1"/>
  <c r="L226" i="4" s="1"/>
  <c r="I227" i="4" s="1"/>
  <c r="J227" i="4" l="1"/>
  <c r="L227" i="4" s="1"/>
  <c r="I228" i="4" s="1"/>
  <c r="J228" i="4" l="1"/>
  <c r="L228" i="4" s="1"/>
  <c r="I229" i="4" s="1"/>
  <c r="J229" i="4" l="1"/>
  <c r="L229" i="4" s="1"/>
  <c r="I230" i="4" s="1"/>
  <c r="J230" i="4" l="1"/>
  <c r="L230" i="4" s="1"/>
  <c r="I231" i="4" s="1"/>
  <c r="J231" i="4" l="1"/>
  <c r="L231" i="4" s="1"/>
  <c r="I232" i="4" s="1"/>
  <c r="J232" i="4" l="1"/>
  <c r="L232" i="4" s="1"/>
  <c r="I233" i="4" s="1"/>
  <c r="J233" i="4" l="1"/>
  <c r="L233" i="4" s="1"/>
  <c r="I234" i="4" s="1"/>
  <c r="J234" i="4" l="1"/>
  <c r="L234" i="4" s="1"/>
  <c r="I235" i="4" s="1"/>
  <c r="J235" i="4" l="1"/>
  <c r="L235" i="4" s="1"/>
  <c r="I236" i="4" s="1"/>
  <c r="J236" i="4" l="1"/>
  <c r="L236" i="4" s="1"/>
  <c r="I237" i="4" s="1"/>
  <c r="J237" i="4" l="1"/>
  <c r="L237" i="4" s="1"/>
  <c r="I238" i="4" s="1"/>
  <c r="J238" i="4" l="1"/>
  <c r="L238" i="4" s="1"/>
  <c r="I239" i="4" s="1"/>
  <c r="J239" i="4" l="1"/>
  <c r="L239" i="4" s="1"/>
  <c r="I240" i="4" s="1"/>
  <c r="J240" i="4" l="1"/>
  <c r="L240" i="4" s="1"/>
  <c r="I241" i="4" s="1"/>
  <c r="J241" i="4" l="1"/>
  <c r="L241" i="4" s="1"/>
  <c r="I242" i="4" s="1"/>
  <c r="J242" i="4" l="1"/>
  <c r="L242" i="4" s="1"/>
  <c r="I243" i="4" s="1"/>
  <c r="J243" i="4" l="1"/>
  <c r="L243" i="4" s="1"/>
  <c r="I244" i="4" s="1"/>
  <c r="J244" i="4" l="1"/>
  <c r="L244" i="4" s="1"/>
  <c r="I245" i="4" s="1"/>
  <c r="J245" i="4" l="1"/>
  <c r="L245" i="4" s="1"/>
  <c r="I246" i="4" s="1"/>
  <c r="J246" i="4" l="1"/>
  <c r="L246" i="4" s="1"/>
  <c r="I247" i="4" s="1"/>
  <c r="J247" i="4" l="1"/>
  <c r="L247" i="4" s="1"/>
  <c r="I248" i="4" s="1"/>
  <c r="J248" i="4" l="1"/>
  <c r="L248" i="4" s="1"/>
  <c r="I249" i="4" s="1"/>
  <c r="J249" i="4" l="1"/>
  <c r="L249" i="4" s="1"/>
  <c r="I250" i="4" s="1"/>
  <c r="J250" i="4" l="1"/>
  <c r="L250" i="4" s="1"/>
  <c r="I251" i="4" s="1"/>
  <c r="J251" i="4" l="1"/>
  <c r="L251" i="4" s="1"/>
  <c r="I252" i="4" s="1"/>
  <c r="J252" i="4" l="1"/>
  <c r="L252" i="4" s="1"/>
  <c r="I253" i="4" s="1"/>
  <c r="J253" i="4" l="1"/>
  <c r="L253" i="4" s="1"/>
  <c r="I254" i="4" s="1"/>
  <c r="J254" i="4" l="1"/>
  <c r="L254" i="4" s="1"/>
  <c r="I255" i="4" s="1"/>
  <c r="J255" i="4" l="1"/>
  <c r="L255" i="4" s="1"/>
  <c r="I256" i="4" s="1"/>
  <c r="J256" i="4" l="1"/>
  <c r="L256" i="4" s="1"/>
  <c r="I257" i="4" s="1"/>
  <c r="J257" i="4" l="1"/>
  <c r="L257" i="4" s="1"/>
  <c r="I258" i="4" s="1"/>
  <c r="J258" i="4" l="1"/>
  <c r="L258" i="4" s="1"/>
  <c r="I259" i="4" s="1"/>
  <c r="J259" i="4" l="1"/>
  <c r="L259" i="4" s="1"/>
  <c r="I260" i="4" s="1"/>
  <c r="J260" i="4" l="1"/>
  <c r="L260" i="4" s="1"/>
  <c r="I261" i="4" s="1"/>
  <c r="J261" i="4" l="1"/>
  <c r="L261" i="4" s="1"/>
  <c r="I262" i="4" s="1"/>
  <c r="J262" i="4" l="1"/>
  <c r="L262" i="4" s="1"/>
  <c r="I263" i="4" s="1"/>
  <c r="J263" i="4" l="1"/>
  <c r="L263" i="4" s="1"/>
  <c r="I264" i="4" s="1"/>
  <c r="J264" i="4" l="1"/>
  <c r="L264" i="4" s="1"/>
  <c r="I265" i="4" s="1"/>
  <c r="J265" i="4" l="1"/>
  <c r="L265" i="4" s="1"/>
  <c r="I266" i="4" s="1"/>
  <c r="J266" i="4" l="1"/>
  <c r="L266" i="4" s="1"/>
  <c r="I267" i="4" s="1"/>
  <c r="J267" i="4" l="1"/>
  <c r="L267" i="4" s="1"/>
  <c r="I268" i="4" s="1"/>
  <c r="J268" i="4" l="1"/>
  <c r="L268" i="4" s="1"/>
  <c r="I269" i="4" s="1"/>
  <c r="J269" i="4" l="1"/>
  <c r="L269" i="4" s="1"/>
  <c r="I270" i="4" s="1"/>
  <c r="L270" i="4" l="1"/>
  <c r="I271" i="4" s="1"/>
  <c r="J270" i="4"/>
  <c r="J271" i="4" l="1"/>
  <c r="L271" i="4" s="1"/>
  <c r="I272" i="4" s="1"/>
  <c r="J272" i="4" l="1"/>
  <c r="L272" i="4" s="1"/>
  <c r="I273" i="4" s="1"/>
  <c r="J273" i="4" l="1"/>
  <c r="L273" i="4" s="1"/>
  <c r="I274" i="4" s="1"/>
  <c r="J274" i="4" l="1"/>
  <c r="L274" i="4" s="1"/>
  <c r="I275" i="4" s="1"/>
  <c r="J275" i="4" l="1"/>
  <c r="L275" i="4" s="1"/>
  <c r="I276" i="4" s="1"/>
  <c r="J276" i="4" l="1"/>
  <c r="L276" i="4" s="1"/>
  <c r="I277" i="4" s="1"/>
  <c r="J277" i="4" l="1"/>
  <c r="L277" i="4" s="1"/>
  <c r="I278" i="4" s="1"/>
  <c r="J278" i="4" l="1"/>
  <c r="L278" i="4" s="1"/>
  <c r="I279" i="4" s="1"/>
  <c r="J279" i="4" l="1"/>
  <c r="L279" i="4" s="1"/>
  <c r="I280" i="4" s="1"/>
  <c r="J280" i="4" l="1"/>
  <c r="L280" i="4" s="1"/>
  <c r="I281" i="4" s="1"/>
  <c r="J281" i="4" l="1"/>
  <c r="L281" i="4" s="1"/>
  <c r="I282" i="4" s="1"/>
  <c r="J282" i="4" l="1"/>
  <c r="L282" i="4" s="1"/>
  <c r="I283" i="4" s="1"/>
  <c r="J283" i="4" l="1"/>
  <c r="L283" i="4" s="1"/>
  <c r="I284" i="4" s="1"/>
  <c r="J284" i="4" l="1"/>
  <c r="L284" i="4" s="1"/>
  <c r="I285" i="4" s="1"/>
  <c r="J285" i="4" l="1"/>
  <c r="L285" i="4" s="1"/>
  <c r="I286" i="4" s="1"/>
  <c r="J286" i="4" l="1"/>
  <c r="L286" i="4" s="1"/>
  <c r="I287" i="4" s="1"/>
  <c r="J287" i="4" l="1"/>
  <c r="L287" i="4" s="1"/>
  <c r="I288" i="4" s="1"/>
  <c r="J288" i="4" l="1"/>
  <c r="L288" i="4" s="1"/>
  <c r="I289" i="4" s="1"/>
  <c r="J289" i="4" l="1"/>
  <c r="L289" i="4" s="1"/>
  <c r="I290" i="4" s="1"/>
  <c r="J290" i="4" l="1"/>
  <c r="L290" i="4" s="1"/>
  <c r="I291" i="4" s="1"/>
  <c r="J291" i="4" l="1"/>
  <c r="L291" i="4" s="1"/>
  <c r="I292" i="4" s="1"/>
  <c r="J292" i="4" l="1"/>
  <c r="L292" i="4" s="1"/>
  <c r="I293" i="4" s="1"/>
  <c r="J293" i="4" l="1"/>
  <c r="L293" i="4" s="1"/>
  <c r="I294" i="4" s="1"/>
  <c r="J294" i="4" l="1"/>
  <c r="L294" i="4" s="1"/>
  <c r="I295" i="4" s="1"/>
  <c r="J295" i="4" l="1"/>
  <c r="L295" i="4" s="1"/>
  <c r="I296" i="4" s="1"/>
  <c r="J296" i="4" l="1"/>
  <c r="L296" i="4" s="1"/>
  <c r="I297" i="4" s="1"/>
  <c r="J297" i="4" l="1"/>
  <c r="L297" i="4" s="1"/>
  <c r="I298" i="4" s="1"/>
  <c r="J298" i="4" l="1"/>
  <c r="L298" i="4" s="1"/>
  <c r="I299" i="4" s="1"/>
  <c r="J299" i="4" l="1"/>
  <c r="L299" i="4" s="1"/>
  <c r="I300" i="4" s="1"/>
  <c r="J300" i="4" l="1"/>
  <c r="L300" i="4" s="1"/>
  <c r="I301" i="4" s="1"/>
  <c r="J301" i="4" l="1"/>
  <c r="L301" i="4" s="1"/>
  <c r="I302" i="4" s="1"/>
  <c r="J302" i="4" l="1"/>
  <c r="L302" i="4" s="1"/>
  <c r="I303" i="4" s="1"/>
  <c r="J303" i="4" l="1"/>
  <c r="L303" i="4" s="1"/>
  <c r="I304" i="4" s="1"/>
  <c r="J304" i="4" l="1"/>
  <c r="L304" i="4" s="1"/>
  <c r="I305" i="4" s="1"/>
  <c r="J305" i="4" l="1"/>
  <c r="L305" i="4" s="1"/>
  <c r="I306" i="4" s="1"/>
  <c r="J306" i="4" l="1"/>
  <c r="L306" i="4" s="1"/>
  <c r="I307" i="4" s="1"/>
  <c r="J307" i="4" l="1"/>
  <c r="L307" i="4" s="1"/>
  <c r="I308" i="4" s="1"/>
  <c r="J308" i="4" l="1"/>
  <c r="L308" i="4" s="1"/>
  <c r="I309" i="4" s="1"/>
  <c r="J309" i="4" l="1"/>
  <c r="L309" i="4" s="1"/>
  <c r="I310" i="4" s="1"/>
  <c r="J310" i="4" l="1"/>
  <c r="L310" i="4" s="1"/>
  <c r="I311" i="4" s="1"/>
  <c r="J311" i="4" l="1"/>
  <c r="L311" i="4" s="1"/>
  <c r="I312" i="4" s="1"/>
  <c r="J312" i="4" l="1"/>
  <c r="L312" i="4" s="1"/>
  <c r="I313" i="4" s="1"/>
  <c r="J313" i="4" l="1"/>
  <c r="L313" i="4" s="1"/>
  <c r="I314" i="4" s="1"/>
  <c r="J314" i="4" l="1"/>
  <c r="L314" i="4" s="1"/>
  <c r="I315" i="4" s="1"/>
  <c r="J315" i="4" l="1"/>
  <c r="L315" i="4" s="1"/>
  <c r="I316" i="4" s="1"/>
  <c r="J316" i="4" l="1"/>
  <c r="L316" i="4" s="1"/>
  <c r="I317" i="4" s="1"/>
  <c r="J317" i="4" l="1"/>
  <c r="L317" i="4" s="1"/>
  <c r="I318" i="4" s="1"/>
  <c r="J318" i="4" l="1"/>
  <c r="L318" i="4" s="1"/>
  <c r="I319" i="4" s="1"/>
  <c r="J319" i="4" l="1"/>
  <c r="L319" i="4" s="1"/>
  <c r="I320" i="4" s="1"/>
  <c r="J320" i="4" l="1"/>
  <c r="L320" i="4" s="1"/>
  <c r="I321" i="4" s="1"/>
  <c r="J321" i="4" l="1"/>
  <c r="L321" i="4" s="1"/>
  <c r="I322" i="4" s="1"/>
  <c r="J322" i="4" l="1"/>
  <c r="L322" i="4" s="1"/>
  <c r="I323" i="4" s="1"/>
  <c r="J323" i="4" l="1"/>
  <c r="L323" i="4" s="1"/>
  <c r="I324" i="4" s="1"/>
  <c r="J324" i="4" l="1"/>
  <c r="L324" i="4" s="1"/>
  <c r="I325" i="4" s="1"/>
  <c r="J325" i="4" l="1"/>
  <c r="L325" i="4" s="1"/>
  <c r="I326" i="4" s="1"/>
  <c r="J326" i="4" l="1"/>
  <c r="L326" i="4" s="1"/>
  <c r="I327" i="4" s="1"/>
  <c r="J327" i="4" l="1"/>
  <c r="L327" i="4" s="1"/>
  <c r="I328" i="4" s="1"/>
  <c r="J328" i="4" l="1"/>
  <c r="L328" i="4" s="1"/>
  <c r="I329" i="4" s="1"/>
  <c r="J329" i="4" l="1"/>
  <c r="L329" i="4" s="1"/>
  <c r="I330" i="4" s="1"/>
  <c r="J330" i="4" l="1"/>
  <c r="L330" i="4" s="1"/>
  <c r="I331" i="4" s="1"/>
  <c r="J331" i="4" l="1"/>
  <c r="L331" i="4" s="1"/>
  <c r="I332" i="4" s="1"/>
  <c r="J332" i="4" l="1"/>
  <c r="L332" i="4" s="1"/>
  <c r="I333" i="4" s="1"/>
  <c r="J333" i="4" l="1"/>
  <c r="L333" i="4" s="1"/>
  <c r="I334" i="4" s="1"/>
  <c r="J334" i="4" l="1"/>
  <c r="L334" i="4" s="1"/>
  <c r="I335" i="4" s="1"/>
  <c r="J335" i="4" l="1"/>
  <c r="L335" i="4" s="1"/>
  <c r="I336" i="4" s="1"/>
  <c r="J336" i="4" l="1"/>
  <c r="L336" i="4" s="1"/>
  <c r="I337" i="4" s="1"/>
  <c r="J337" i="4" l="1"/>
  <c r="L337" i="4" s="1"/>
  <c r="I338" i="4" s="1"/>
  <c r="J338" i="4" l="1"/>
  <c r="L338" i="4" s="1"/>
  <c r="I339" i="4" s="1"/>
  <c r="J339" i="4" l="1"/>
  <c r="L339" i="4" s="1"/>
  <c r="I340" i="4" s="1"/>
  <c r="J340" i="4" l="1"/>
  <c r="L340" i="4" s="1"/>
  <c r="I341" i="4" s="1"/>
  <c r="J341" i="4" l="1"/>
  <c r="L341" i="4" s="1"/>
  <c r="I342" i="4" s="1"/>
  <c r="J342" i="4" l="1"/>
  <c r="L342" i="4" s="1"/>
  <c r="I343" i="4" s="1"/>
  <c r="J343" i="4" l="1"/>
  <c r="L343" i="4" s="1"/>
  <c r="I344" i="4" s="1"/>
  <c r="J344" i="4" l="1"/>
  <c r="L344" i="4" s="1"/>
  <c r="I345" i="4" s="1"/>
  <c r="J345" i="4" l="1"/>
  <c r="L345" i="4" s="1"/>
  <c r="I346" i="4" s="1"/>
  <c r="J346" i="4" l="1"/>
  <c r="L346" i="4" s="1"/>
  <c r="I347" i="4" s="1"/>
  <c r="J347" i="4" l="1"/>
  <c r="L347" i="4" s="1"/>
  <c r="I348" i="4" s="1"/>
  <c r="J348" i="4" l="1"/>
  <c r="L348" i="4" s="1"/>
  <c r="I349" i="4" s="1"/>
  <c r="J349" i="4" l="1"/>
  <c r="L349" i="4" s="1"/>
  <c r="I350" i="4" s="1"/>
  <c r="J350" i="4" l="1"/>
  <c r="L350" i="4" s="1"/>
  <c r="I351" i="4" s="1"/>
  <c r="J351" i="4" l="1"/>
  <c r="L351" i="4" s="1"/>
  <c r="I352" i="4" s="1"/>
  <c r="J352" i="4" l="1"/>
  <c r="L352" i="4" s="1"/>
  <c r="I353" i="4" s="1"/>
  <c r="J353" i="4" l="1"/>
  <c r="L353" i="4" s="1"/>
  <c r="I354" i="4" s="1"/>
  <c r="J354" i="4" l="1"/>
  <c r="L354" i="4" s="1"/>
  <c r="I355" i="4" s="1"/>
  <c r="J355" i="4" l="1"/>
  <c r="L355" i="4" s="1"/>
  <c r="I356" i="4" s="1"/>
  <c r="J356" i="4" l="1"/>
  <c r="L356" i="4" s="1"/>
  <c r="I357" i="4" s="1"/>
  <c r="J357" i="4" l="1"/>
  <c r="L357" i="4" s="1"/>
  <c r="I358" i="4" s="1"/>
  <c r="J358" i="4" l="1"/>
  <c r="L358" i="4" s="1"/>
  <c r="I359" i="4" s="1"/>
  <c r="J359" i="4" l="1"/>
  <c r="L359" i="4" s="1"/>
  <c r="I360" i="4" s="1"/>
  <c r="J360" i="4" l="1"/>
  <c r="L360" i="4" s="1"/>
  <c r="I361" i="4" s="1"/>
  <c r="J361" i="4" l="1"/>
  <c r="L361" i="4" s="1"/>
  <c r="I362" i="4" s="1"/>
  <c r="J362" i="4" l="1"/>
  <c r="L362" i="4" s="1"/>
  <c r="I363" i="4" s="1"/>
  <c r="J363" i="4" l="1"/>
  <c r="L363" i="4" s="1"/>
</calcChain>
</file>

<file path=xl/comments1.xml><?xml version="1.0" encoding="utf-8"?>
<comments xmlns="http://schemas.openxmlformats.org/spreadsheetml/2006/main">
  <authors>
    <author>Administrator</author>
  </authors>
  <commentList>
    <comment ref="E14" authorId="0" shapeId="0">
      <text>
        <r>
          <rPr>
            <b/>
            <sz val="11"/>
            <color indexed="81"/>
            <rFont val="Tahoma"/>
            <family val="2"/>
          </rPr>
          <t>Administrator: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K14" authorId="0" shapeId="0">
      <text>
        <r>
          <rPr>
            <b/>
            <sz val="11"/>
            <color indexed="81"/>
            <rFont val="Tahoma"/>
            <family val="2"/>
          </rPr>
          <t>Administrator: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L3" authorId="0" shapeId="0">
      <text>
        <r>
          <rPr>
            <b/>
            <sz val="11"/>
            <color indexed="81"/>
            <rFont val="Tahoma"/>
            <family val="2"/>
          </rPr>
          <t>Administrator: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<sst xmlns="http://schemas.openxmlformats.org/spreadsheetml/2006/main" count="105" uniqueCount="90">
  <si>
    <t>Credit Card Balance</t>
  </si>
  <si>
    <t>Buy $1,000 phone on your credit card at 12% compounded monthly</t>
  </si>
  <si>
    <t>Present Value (PV)</t>
  </si>
  <si>
    <t>PV</t>
  </si>
  <si>
    <t xml:space="preserve">Interest APR </t>
  </si>
  <si>
    <t xml:space="preserve">   r</t>
  </si>
  <si>
    <t>(Annual Percentage Rate)</t>
  </si>
  <si>
    <t>Interest per month</t>
  </si>
  <si>
    <t xml:space="preserve">   i</t>
  </si>
  <si>
    <t>compound at 1% per month</t>
  </si>
  <si>
    <t>After 1 month</t>
  </si>
  <si>
    <t>=PV*(1+i)</t>
  </si>
  <si>
    <t>After 2 months</t>
  </si>
  <si>
    <t>=PV*(1+i)*(1+i)</t>
  </si>
  <si>
    <t>After 3 months</t>
  </si>
  <si>
    <t>=PV*(1+i)*(1+i)*(1+i)</t>
  </si>
  <si>
    <t>….</t>
  </si>
  <si>
    <t>After 4 months</t>
  </si>
  <si>
    <t>After 5 months</t>
  </si>
  <si>
    <r>
      <t>=PV*(1+i)</t>
    </r>
    <r>
      <rPr>
        <vertAlign val="superscript"/>
        <sz val="14"/>
        <color theme="1"/>
        <rFont val="Calibri"/>
        <family val="2"/>
        <scheme val="minor"/>
      </rPr>
      <t>5</t>
    </r>
  </si>
  <si>
    <r>
      <t>FV=PV*(1+i)</t>
    </r>
    <r>
      <rPr>
        <b/>
        <vertAlign val="superscript"/>
        <sz val="14"/>
        <color theme="1"/>
        <rFont val="Calibri"/>
        <family val="2"/>
        <scheme val="minor"/>
      </rPr>
      <t>5</t>
    </r>
  </si>
  <si>
    <t>4 variables - FV,PV,i, n=5 months</t>
  </si>
  <si>
    <t>compound interest formula</t>
  </si>
  <si>
    <t>if n is the unknown then we have an exponential equation</t>
  </si>
  <si>
    <t>HW Problems:</t>
  </si>
  <si>
    <t>1) What is the balance after one year for a $2000 purchase at 18% APR compounded monthly</t>
  </si>
  <si>
    <t>2) What is the balance after one year for a $1000 purchase at 6% APR compounded monthly</t>
  </si>
  <si>
    <t>3) If the balance after two years is $3,215, what was the original amount at 12% APR compounded monthly?</t>
  </si>
  <si>
    <t>Annuities - equal payments each month</t>
  </si>
  <si>
    <t>time</t>
  </si>
  <si>
    <t>payment</t>
  </si>
  <si>
    <t>interest</t>
  </si>
  <si>
    <t>in 5 months</t>
  </si>
  <si>
    <t>now</t>
  </si>
  <si>
    <t>*1.01^5</t>
  </si>
  <si>
    <t>1 month</t>
  </si>
  <si>
    <t>*1.01^4</t>
  </si>
  <si>
    <t>2 month</t>
  </si>
  <si>
    <t>*1.01^3</t>
  </si>
  <si>
    <t>3 month</t>
  </si>
  <si>
    <t>*1.01^2</t>
  </si>
  <si>
    <t>4 month</t>
  </si>
  <si>
    <t>*1.01^1</t>
  </si>
  <si>
    <t>value of all 5  $1,000 payments in 5 months</t>
  </si>
  <si>
    <t>OR</t>
  </si>
  <si>
    <t>FV annuity formula</t>
  </si>
  <si>
    <t>FV function</t>
  </si>
  <si>
    <r>
      <t xml:space="preserve">1) What is the balance at the end of the year when saving $1,000 each month for one year at 18% APR compounded monthly - </t>
    </r>
    <r>
      <rPr>
        <b/>
        <sz val="11"/>
        <color theme="1"/>
        <rFont val="Calibri"/>
        <family val="2"/>
        <scheme val="minor"/>
      </rPr>
      <t>compute all 3 methods</t>
    </r>
  </si>
  <si>
    <r>
      <t>2) What is the balance at the end of two years when saving $500 each month for two years at 6% APR compounded monthly -</t>
    </r>
    <r>
      <rPr>
        <b/>
        <sz val="11"/>
        <color theme="1"/>
        <rFont val="Calibri"/>
        <family val="2"/>
        <scheme val="minor"/>
      </rPr>
      <t xml:space="preserve"> compute all 3 methods</t>
    </r>
  </si>
  <si>
    <r>
      <t xml:space="preserve">3) What is the balance at the </t>
    </r>
    <r>
      <rPr>
        <b/>
        <sz val="11"/>
        <color theme="1"/>
        <rFont val="Calibri"/>
        <family val="2"/>
        <scheme val="minor"/>
      </rPr>
      <t>beginning</t>
    </r>
    <r>
      <rPr>
        <sz val="11"/>
        <color theme="1"/>
        <rFont val="Calibri"/>
        <family val="2"/>
        <scheme val="minor"/>
      </rPr>
      <t xml:space="preserve"> of two years (value now) when saving $800 each month for two years at 12% APR compounded monthly</t>
    </r>
  </si>
  <si>
    <t>4) How long would it take you (years or months) to save up $10,000 if you made monthly payments of $250 and earned 15% APR</t>
  </si>
  <si>
    <t>CAR LOAN</t>
  </si>
  <si>
    <t>3-yr lease</t>
  </si>
  <si>
    <t>5-yr buy</t>
  </si>
  <si>
    <t>HW1</t>
  </si>
  <si>
    <t>pv - loan</t>
  </si>
  <si>
    <t>purchase price</t>
  </si>
  <si>
    <t xml:space="preserve"> compare buy and lease for a $20,000 car over 4 years at 3% APR.  The lease cost is $400/month.</t>
  </si>
  <si>
    <t>pmt</t>
  </si>
  <si>
    <t>cost offer per month</t>
  </si>
  <si>
    <t>per month</t>
  </si>
  <si>
    <t>n</t>
  </si>
  <si>
    <t>3 years</t>
  </si>
  <si>
    <t>5 years</t>
  </si>
  <si>
    <t>a. create a copy of this tab using the new numbers above</t>
  </si>
  <si>
    <t>i</t>
  </si>
  <si>
    <t>6% rate divide by 12</t>
  </si>
  <si>
    <t>b. make amortization tables for this comparison</t>
  </si>
  <si>
    <t>FV</t>
  </si>
  <si>
    <t>c.  Comment about the lease and buy options - positives/negativees?</t>
  </si>
  <si>
    <t>buy the car?</t>
  </si>
  <si>
    <t>you paid the car off after 5 years</t>
  </si>
  <si>
    <t>Month</t>
  </si>
  <si>
    <t>Loan value</t>
  </si>
  <si>
    <t>end of month value</t>
  </si>
  <si>
    <t>HOUSE LOAN - MORTGAGE</t>
  </si>
  <si>
    <t>https://www.wsj.com/buyside/personal-finance/mortgage-rates-by-credit-score-287bb3d8</t>
  </si>
  <si>
    <t>Interest Rate by Credit Score</t>
  </si>
  <si>
    <t>FICO SCORE</t>
  </si>
  <si>
    <t>MORTGAGE RATE</t>
  </si>
  <si>
    <t>buy a house  - loan</t>
  </si>
  <si>
    <t>760+</t>
  </si>
  <si>
    <t>30-year mortgage</t>
  </si>
  <si>
    <t>700-759</t>
  </si>
  <si>
    <t>interest rate</t>
  </si>
  <si>
    <t>680-699</t>
  </si>
  <si>
    <t>payment per month</t>
  </si>
  <si>
    <t>660-679</t>
  </si>
  <si>
    <t>640-659</t>
  </si>
  <si>
    <t>620-639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</si>
</sst>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4"/>
      <color rgb="FF333333"/>
      <name val="Arial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CCCCCC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60">
    <xf numFmtId="0" fontId="0" fillId="0" borderId="0" xfId="0"/>
    <xf numFmtId="0" fontId="3" fillId="2" borderId="0" xfId="0" applyFont="1" applyFill="1"/>
    <xf numFmtId="0" fontId="4" fillId="0" borderId="0" xfId="0" applyFont="1"/>
    <xf numFmtId="0" fontId="3" fillId="0" borderId="0" xfId="0" applyFont="1"/>
    <xf numFmtId="9" fontId="4" fillId="0" borderId="0" xfId="2" applyFont="1"/>
    <xf numFmtId="44" fontId="4" fillId="0" borderId="0" xfId="1" applyFont="1"/>
    <xf numFmtId="0" fontId="4" fillId="0" borderId="0" xfId="0" quotePrefix="1" applyFont="1"/>
    <xf numFmtId="44" fontId="4" fillId="2" borderId="0" xfId="1" applyFont="1" applyFill="1"/>
    <xf numFmtId="0" fontId="3" fillId="3" borderId="0" xfId="0" quotePrefix="1" applyFont="1" applyFill="1"/>
    <xf numFmtId="0" fontId="3" fillId="3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0" borderId="0" xfId="0" applyFont="1" applyAlignment="1">
      <alignment wrapText="1"/>
    </xf>
    <xf numFmtId="0" fontId="0" fillId="0" borderId="0" xfId="0" applyFill="1"/>
    <xf numFmtId="0" fontId="2" fillId="2" borderId="0" xfId="0" applyFont="1" applyFill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44" fontId="0" fillId="2" borderId="0" xfId="1" applyFont="1" applyFill="1"/>
    <xf numFmtId="44" fontId="2" fillId="3" borderId="0" xfId="0" applyNumberFormat="1" applyFont="1" applyFill="1"/>
    <xf numFmtId="0" fontId="0" fillId="3" borderId="0" xfId="0" applyFill="1"/>
    <xf numFmtId="0" fontId="2" fillId="3" borderId="0" xfId="0" applyFont="1" applyFill="1"/>
    <xf numFmtId="44" fontId="2" fillId="3" borderId="0" xfId="1" applyFont="1" applyFill="1"/>
    <xf numFmtId="8" fontId="2" fillId="3" borderId="0" xfId="1" applyNumberFormat="1" applyFont="1" applyFill="1"/>
    <xf numFmtId="0" fontId="0" fillId="0" borderId="0" xfId="0" applyAlignment="1">
      <alignment wrapText="1"/>
    </xf>
    <xf numFmtId="0" fontId="2" fillId="5" borderId="0" xfId="0" applyFont="1" applyFill="1"/>
    <xf numFmtId="0" fontId="0" fillId="5" borderId="0" xfId="0" applyFill="1"/>
    <xf numFmtId="44" fontId="0" fillId="0" borderId="0" xfId="1" applyFont="1" applyFill="1"/>
    <xf numFmtId="8" fontId="0" fillId="0" borderId="0" xfId="0" applyNumberFormat="1" applyFill="1"/>
    <xf numFmtId="10" fontId="0" fillId="0" borderId="0" xfId="2" applyNumberFormat="1" applyFont="1"/>
    <xf numFmtId="8" fontId="0" fillId="3" borderId="0" xfId="0" applyNumberFormat="1" applyFill="1"/>
    <xf numFmtId="8" fontId="0" fillId="0" borderId="0" xfId="0" applyNumberFormat="1"/>
    <xf numFmtId="6" fontId="0" fillId="0" borderId="0" xfId="0" applyNumberFormat="1"/>
    <xf numFmtId="44" fontId="0" fillId="0" borderId="0" xfId="0" applyNumberForma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4" fontId="0" fillId="3" borderId="0" xfId="1" applyFont="1" applyFill="1"/>
    <xf numFmtId="44" fontId="0" fillId="3" borderId="0" xfId="0" applyNumberFormat="1" applyFill="1"/>
    <xf numFmtId="0" fontId="3" fillId="5" borderId="0" xfId="0" applyFont="1" applyFill="1"/>
    <xf numFmtId="0" fontId="4" fillId="5" borderId="0" xfId="0" applyFont="1" applyFill="1"/>
    <xf numFmtId="0" fontId="9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1" fillId="0" borderId="0" xfId="3" applyFont="1" applyAlignment="1">
      <alignment horizontal="center" vertical="center" wrapText="1"/>
    </xf>
    <xf numFmtId="0" fontId="3" fillId="0" borderId="1" xfId="0" applyFont="1" applyBorder="1"/>
    <xf numFmtId="0" fontId="4" fillId="0" borderId="2" xfId="0" applyFont="1" applyBorder="1"/>
    <xf numFmtId="44" fontId="3" fillId="0" borderId="3" xfId="1" applyFont="1" applyBorder="1"/>
    <xf numFmtId="8" fontId="4" fillId="0" borderId="0" xfId="0" applyNumberFormat="1" applyFont="1"/>
    <xf numFmtId="0" fontId="12" fillId="0" borderId="4" xfId="0" applyFont="1" applyBorder="1" applyAlignment="1">
      <alignment horizontal="center" vertical="center" wrapText="1"/>
    </xf>
    <xf numFmtId="10" fontId="12" fillId="6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0" xfId="0" applyFont="1" applyBorder="1"/>
    <xf numFmtId="0" fontId="4" fillId="0" borderId="6" xfId="0" applyFont="1" applyBorder="1"/>
    <xf numFmtId="0" fontId="12" fillId="7" borderId="4" xfId="0" applyFont="1" applyFill="1" applyBorder="1" applyAlignment="1">
      <alignment horizontal="center" vertical="center" wrapText="1"/>
    </xf>
    <xf numFmtId="10" fontId="12" fillId="7" borderId="4" xfId="0" applyNumberFormat="1" applyFont="1" applyFill="1" applyBorder="1" applyAlignment="1">
      <alignment horizontal="center" vertical="center" wrapText="1"/>
    </xf>
    <xf numFmtId="10" fontId="4" fillId="6" borderId="6" xfId="0" applyNumberFormat="1" applyFont="1" applyFill="1" applyBorder="1"/>
    <xf numFmtId="10" fontId="12" fillId="0" borderId="4" xfId="0" applyNumberFormat="1" applyFont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8" fontId="4" fillId="0" borderId="9" xfId="0" applyNumberFormat="1" applyFont="1" applyBorder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www.wsj.com/buyside/personal-finance/mortgage-rates-by-credit-score-287bb3d8" TargetMode="External"/><Relationship Id="rId1" Type="http://schemas.openxmlformats.org/officeDocument/2006/relationships/hyperlink" Target="https://www.wsj.com/buyside/personal-finance/mortgage-rates-by-credit-score-287bb3d8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26"/>
  <sheetViews>
    <sheetView tabSelected="1" zoomScale="107" zoomScaleNormal="107" workbookViewId="0">
      <selection activeCell="E4" sqref="E4"/>
    </sheetView>
  </sheetViews>
  <sheetFormatPr defaultColWidth="15.33203125" defaultRowHeight="18" x14ac:dyDescent="0.35"/>
  <cols>
    <col min="1" max="1" width="34.21875" style="2" customWidth="1"/>
    <col min="2" max="16384" width="15.33203125" style="2"/>
  </cols>
  <sheetData>
    <row r="1" spans="1:8" x14ac:dyDescent="0.35">
      <c r="A1" s="1" t="s">
        <v>0</v>
      </c>
    </row>
    <row r="2" spans="1:8" x14ac:dyDescent="0.35">
      <c r="A2" s="3"/>
    </row>
    <row r="3" spans="1:8" x14ac:dyDescent="0.35">
      <c r="A3" s="3" t="s">
        <v>1</v>
      </c>
    </row>
    <row r="5" spans="1:8" x14ac:dyDescent="0.35">
      <c r="A5" s="2" t="s">
        <v>2</v>
      </c>
      <c r="B5" s="2">
        <v>1000</v>
      </c>
      <c r="C5" s="2" t="s">
        <v>3</v>
      </c>
    </row>
    <row r="6" spans="1:8" x14ac:dyDescent="0.35">
      <c r="A6" s="2" t="s">
        <v>4</v>
      </c>
      <c r="B6" s="4">
        <v>0.12</v>
      </c>
      <c r="C6" s="2" t="s">
        <v>5</v>
      </c>
      <c r="D6" s="2" t="s">
        <v>6</v>
      </c>
    </row>
    <row r="7" spans="1:8" x14ac:dyDescent="0.35">
      <c r="A7" s="2" t="s">
        <v>7</v>
      </c>
      <c r="B7" s="4">
        <f>B6/12</f>
        <v>0.01</v>
      </c>
      <c r="C7" s="2" t="s">
        <v>8</v>
      </c>
      <c r="D7" s="2" t="s">
        <v>9</v>
      </c>
    </row>
    <row r="9" spans="1:8" x14ac:dyDescent="0.35">
      <c r="A9" s="2" t="s">
        <v>10</v>
      </c>
      <c r="B9" s="5">
        <f>B5*(1+B7)</f>
        <v>1010</v>
      </c>
      <c r="C9" s="6" t="s">
        <v>11</v>
      </c>
    </row>
    <row r="10" spans="1:8" x14ac:dyDescent="0.35">
      <c r="A10" s="2" t="s">
        <v>12</v>
      </c>
      <c r="B10" s="5">
        <f>B9*(1+$B$7)</f>
        <v>1020.1</v>
      </c>
      <c r="C10" s="6" t="s">
        <v>13</v>
      </c>
    </row>
    <row r="11" spans="1:8" x14ac:dyDescent="0.35">
      <c r="A11" s="2" t="s">
        <v>14</v>
      </c>
      <c r="B11" s="5">
        <f t="shared" ref="B11:B13" si="0">B10*(1+$B$7)</f>
        <v>1030.3009999999999</v>
      </c>
      <c r="C11" s="6" t="s">
        <v>15</v>
      </c>
      <c r="E11" s="2" t="s">
        <v>16</v>
      </c>
    </row>
    <row r="12" spans="1:8" x14ac:dyDescent="0.35">
      <c r="A12" s="2" t="s">
        <v>17</v>
      </c>
      <c r="B12" s="5">
        <f t="shared" si="0"/>
        <v>1040.60401</v>
      </c>
    </row>
    <row r="13" spans="1:8" ht="19.8" x14ac:dyDescent="0.35">
      <c r="A13" s="2" t="s">
        <v>18</v>
      </c>
      <c r="B13" s="7">
        <f t="shared" si="0"/>
        <v>1051.0100500999999</v>
      </c>
      <c r="C13" s="6" t="s">
        <v>19</v>
      </c>
    </row>
    <row r="15" spans="1:8" ht="19.8" x14ac:dyDescent="0.35">
      <c r="B15" s="8" t="s">
        <v>20</v>
      </c>
      <c r="C15" s="9" t="s">
        <v>21</v>
      </c>
      <c r="D15" s="9"/>
      <c r="E15" s="9"/>
      <c r="F15" s="9" t="s">
        <v>22</v>
      </c>
      <c r="G15" s="10"/>
      <c r="H15" s="10"/>
    </row>
    <row r="16" spans="1:8" x14ac:dyDescent="0.35">
      <c r="C16" s="11" t="s">
        <v>23</v>
      </c>
      <c r="D16" s="11"/>
      <c r="E16" s="11"/>
      <c r="F16" s="11"/>
      <c r="G16" s="11"/>
      <c r="H16" s="11"/>
    </row>
    <row r="18" spans="1:4" x14ac:dyDescent="0.35">
      <c r="A18" s="1" t="s">
        <v>24</v>
      </c>
    </row>
    <row r="19" spans="1:4" ht="72" x14ac:dyDescent="0.35">
      <c r="A19" s="12" t="s">
        <v>25</v>
      </c>
      <c r="B19" s="12"/>
      <c r="C19" s="12"/>
      <c r="D19" s="12"/>
    </row>
    <row r="20" spans="1:4" ht="72" x14ac:dyDescent="0.35">
      <c r="A20" s="12" t="s">
        <v>26</v>
      </c>
      <c r="B20" s="12"/>
      <c r="C20" s="12"/>
      <c r="D20" s="12"/>
    </row>
    <row r="21" spans="1:4" ht="72" x14ac:dyDescent="0.35">
      <c r="A21" s="12" t="s">
        <v>27</v>
      </c>
      <c r="B21" s="12"/>
      <c r="C21" s="12"/>
      <c r="D21" s="12"/>
    </row>
    <row r="22" spans="1:4" x14ac:dyDescent="0.35">
      <c r="A22" s="12"/>
      <c r="B22" s="12"/>
      <c r="C22" s="12"/>
      <c r="D22" s="12"/>
    </row>
    <row r="23" spans="1:4" x14ac:dyDescent="0.35">
      <c r="A23" s="12"/>
      <c r="B23" s="12"/>
      <c r="C23" s="12"/>
      <c r="D23" s="12"/>
    </row>
    <row r="24" spans="1:4" x14ac:dyDescent="0.35">
      <c r="A24" s="12"/>
      <c r="B24" s="12"/>
      <c r="C24" s="12"/>
      <c r="D24" s="12"/>
    </row>
    <row r="25" spans="1:4" x14ac:dyDescent="0.35">
      <c r="A25" s="12"/>
      <c r="B25" s="12"/>
      <c r="C25" s="12"/>
      <c r="D25" s="12"/>
    </row>
    <row r="26" spans="1:4" x14ac:dyDescent="0.35">
      <c r="A26" s="12"/>
      <c r="B26" s="12"/>
      <c r="C26" s="12"/>
      <c r="D26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0"/>
  <sheetViews>
    <sheetView zoomScale="146" zoomScaleNormal="146" workbookViewId="0">
      <selection activeCell="B19" sqref="B19"/>
    </sheetView>
  </sheetViews>
  <sheetFormatPr defaultRowHeight="14.4" x14ac:dyDescent="0.3"/>
  <cols>
    <col min="1" max="1" width="35.5546875" customWidth="1"/>
    <col min="2" max="2" width="13.21875" customWidth="1"/>
    <col min="4" max="4" width="10.6640625" customWidth="1"/>
    <col min="5" max="5" width="10.44140625" customWidth="1"/>
    <col min="9" max="9" width="9.6640625" customWidth="1"/>
  </cols>
  <sheetData>
    <row r="1" spans="1:9" x14ac:dyDescent="0.3">
      <c r="B1" s="13"/>
      <c r="C1" s="13"/>
      <c r="D1" s="13"/>
      <c r="E1" s="13"/>
      <c r="F1" s="13"/>
      <c r="G1" s="13"/>
    </row>
    <row r="2" spans="1:9" x14ac:dyDescent="0.3">
      <c r="A2" s="14" t="s">
        <v>28</v>
      </c>
      <c r="B2" s="13"/>
      <c r="C2" s="13"/>
      <c r="D2" s="13"/>
      <c r="E2" s="13"/>
      <c r="F2" s="13"/>
      <c r="G2" s="13"/>
    </row>
    <row r="3" spans="1:9" x14ac:dyDescent="0.3">
      <c r="A3" s="15" t="s">
        <v>29</v>
      </c>
      <c r="B3" s="16" t="s">
        <v>30</v>
      </c>
      <c r="C3" s="17" t="s">
        <v>31</v>
      </c>
      <c r="D3" s="17" t="s">
        <v>32</v>
      </c>
    </row>
    <row r="4" spans="1:9" x14ac:dyDescent="0.3">
      <c r="A4" s="15" t="s">
        <v>33</v>
      </c>
      <c r="B4" s="18">
        <v>1000</v>
      </c>
      <c r="C4" t="s">
        <v>34</v>
      </c>
      <c r="D4" s="19">
        <f>B4*1.01^5</f>
        <v>1051.0100500999999</v>
      </c>
    </row>
    <row r="5" spans="1:9" x14ac:dyDescent="0.3">
      <c r="A5" s="15" t="s">
        <v>35</v>
      </c>
      <c r="B5" s="18">
        <v>1000</v>
      </c>
      <c r="C5" t="s">
        <v>36</v>
      </c>
      <c r="D5" s="18">
        <f>B5*1.01^4</f>
        <v>1040.60401</v>
      </c>
    </row>
    <row r="6" spans="1:9" x14ac:dyDescent="0.3">
      <c r="A6" s="15" t="s">
        <v>37</v>
      </c>
      <c r="B6" s="18">
        <v>1000</v>
      </c>
      <c r="C6" t="s">
        <v>38</v>
      </c>
      <c r="D6" s="18">
        <f>B6*1.01^3</f>
        <v>1030.3009999999999</v>
      </c>
    </row>
    <row r="7" spans="1:9" x14ac:dyDescent="0.3">
      <c r="A7" s="15" t="s">
        <v>39</v>
      </c>
      <c r="B7" s="18">
        <v>1000</v>
      </c>
      <c r="C7" t="s">
        <v>40</v>
      </c>
      <c r="D7" s="18">
        <f>B7*1.01^2</f>
        <v>1020.1</v>
      </c>
    </row>
    <row r="8" spans="1:9" x14ac:dyDescent="0.3">
      <c r="A8" s="15" t="s">
        <v>41</v>
      </c>
      <c r="B8" s="18">
        <v>1000</v>
      </c>
      <c r="C8" t="s">
        <v>42</v>
      </c>
      <c r="D8" s="18">
        <f>B8*1.01</f>
        <v>1010</v>
      </c>
      <c r="E8" s="20">
        <f>SUM(D4:D8)</f>
        <v>5152.0150600999996</v>
      </c>
      <c r="F8" s="21" t="s">
        <v>43</v>
      </c>
      <c r="G8" s="21"/>
      <c r="H8" s="21"/>
      <c r="I8" s="21"/>
    </row>
    <row r="9" spans="1:9" x14ac:dyDescent="0.3">
      <c r="E9" s="22" t="s">
        <v>44</v>
      </c>
    </row>
    <row r="10" spans="1:9" x14ac:dyDescent="0.3">
      <c r="E10" s="23">
        <f>1000*1.01*(1.01^5-1)/0.01</f>
        <v>5152.0150600999923</v>
      </c>
      <c r="F10" s="22" t="s">
        <v>45</v>
      </c>
      <c r="G10" s="21"/>
    </row>
    <row r="11" spans="1:9" x14ac:dyDescent="0.3">
      <c r="E11" s="22" t="s">
        <v>44</v>
      </c>
    </row>
    <row r="12" spans="1:9" x14ac:dyDescent="0.3">
      <c r="A12" s="14" t="s">
        <v>24</v>
      </c>
      <c r="E12" s="24">
        <f>FV(0.01,5,1000,0,1)</f>
        <v>-5152.0150600999932</v>
      </c>
      <c r="F12" s="22" t="s">
        <v>46</v>
      </c>
      <c r="G12" s="21"/>
    </row>
    <row r="13" spans="1:9" ht="57.6" x14ac:dyDescent="0.3">
      <c r="A13" s="25" t="s">
        <v>47</v>
      </c>
      <c r="B13" s="25"/>
      <c r="C13" s="25"/>
      <c r="D13" s="25"/>
    </row>
    <row r="14" spans="1:9" ht="57.6" x14ac:dyDescent="0.3">
      <c r="A14" s="25" t="s">
        <v>48</v>
      </c>
      <c r="B14" s="25"/>
      <c r="C14" s="25"/>
      <c r="D14" s="25"/>
    </row>
    <row r="15" spans="1:9" ht="57.6" x14ac:dyDescent="0.3">
      <c r="A15" s="25" t="s">
        <v>49</v>
      </c>
      <c r="B15" s="25"/>
      <c r="C15" s="25"/>
      <c r="D15" s="25"/>
    </row>
    <row r="16" spans="1:9" ht="57.6" x14ac:dyDescent="0.3">
      <c r="A16" s="25" t="s">
        <v>50</v>
      </c>
      <c r="B16" s="25"/>
      <c r="C16" s="25"/>
      <c r="D16" s="25"/>
    </row>
    <row r="17" spans="1:4" x14ac:dyDescent="0.3">
      <c r="A17" s="25"/>
      <c r="B17" s="25"/>
      <c r="C17" s="25"/>
      <c r="D17" s="25"/>
    </row>
    <row r="18" spans="1:4" x14ac:dyDescent="0.3">
      <c r="A18" s="25"/>
      <c r="B18" s="25"/>
      <c r="C18" s="25"/>
      <c r="D18" s="25"/>
    </row>
    <row r="19" spans="1:4" x14ac:dyDescent="0.3">
      <c r="A19" s="25"/>
      <c r="B19" s="25"/>
      <c r="C19" s="25"/>
      <c r="D19" s="25"/>
    </row>
    <row r="20" spans="1:4" x14ac:dyDescent="0.3">
      <c r="A20" s="25"/>
      <c r="B20" s="25"/>
      <c r="C20" s="25"/>
      <c r="D20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N143"/>
  <sheetViews>
    <sheetView topLeftCell="G1" zoomScale="141" zoomScaleNormal="141" workbookViewId="0">
      <selection activeCell="B19" sqref="B19"/>
    </sheetView>
  </sheetViews>
  <sheetFormatPr defaultRowHeight="14.4" x14ac:dyDescent="0.3"/>
  <cols>
    <col min="1" max="1" width="12.77734375" customWidth="1"/>
    <col min="2" max="2" width="13.77734375" customWidth="1"/>
    <col min="3" max="3" width="18.44140625" customWidth="1"/>
    <col min="4" max="4" width="13.33203125" customWidth="1"/>
    <col min="5" max="5" width="19.5546875" customWidth="1"/>
    <col min="6" max="6" width="8" customWidth="1"/>
    <col min="7" max="7" width="13.44140625" customWidth="1"/>
    <col min="8" max="8" width="12.6640625" customWidth="1"/>
    <col min="9" max="9" width="11.109375" customWidth="1"/>
    <col min="10" max="10" width="12.109375" bestFit="1" customWidth="1"/>
    <col min="11" max="11" width="12" customWidth="1"/>
    <col min="12" max="12" width="6.5546875" customWidth="1"/>
    <col min="13" max="13" width="6.109375" customWidth="1"/>
    <col min="14" max="14" width="48.88671875" customWidth="1"/>
  </cols>
  <sheetData>
    <row r="1" spans="1:14" x14ac:dyDescent="0.3">
      <c r="A1" s="26" t="s">
        <v>51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s="17" customFormat="1" x14ac:dyDescent="0.3">
      <c r="B2" s="17" t="s">
        <v>52</v>
      </c>
      <c r="G2" s="17" t="s">
        <v>53</v>
      </c>
      <c r="N2" s="17" t="s">
        <v>54</v>
      </c>
    </row>
    <row r="3" spans="1:14" ht="28.8" x14ac:dyDescent="0.3">
      <c r="A3" s="17" t="s">
        <v>55</v>
      </c>
      <c r="B3" s="18">
        <v>30000</v>
      </c>
      <c r="C3" t="s">
        <v>56</v>
      </c>
      <c r="G3" s="18">
        <v>30000</v>
      </c>
      <c r="H3" t="s">
        <v>56</v>
      </c>
      <c r="I3" s="18"/>
      <c r="N3" s="25" t="s">
        <v>57</v>
      </c>
    </row>
    <row r="4" spans="1:14" x14ac:dyDescent="0.3">
      <c r="A4" s="17" t="s">
        <v>58</v>
      </c>
      <c r="B4" s="28">
        <v>530</v>
      </c>
      <c r="C4" t="s">
        <v>59</v>
      </c>
      <c r="G4" s="29">
        <f>PMT(G6,G5,G3,0,0)</f>
        <v>-579.98404588283745</v>
      </c>
      <c r="H4" t="s">
        <v>60</v>
      </c>
      <c r="I4" s="13"/>
      <c r="J4" s="13"/>
      <c r="N4" s="25"/>
    </row>
    <row r="5" spans="1:14" x14ac:dyDescent="0.3">
      <c r="A5" s="17" t="s">
        <v>61</v>
      </c>
      <c r="B5">
        <v>36</v>
      </c>
      <c r="C5" t="s">
        <v>62</v>
      </c>
      <c r="G5">
        <v>60</v>
      </c>
      <c r="H5" t="s">
        <v>63</v>
      </c>
      <c r="N5" s="25" t="s">
        <v>64</v>
      </c>
    </row>
    <row r="6" spans="1:14" x14ac:dyDescent="0.3">
      <c r="A6" s="17" t="s">
        <v>65</v>
      </c>
      <c r="B6" s="30">
        <v>5.0000000000000001E-3</v>
      </c>
      <c r="C6" t="s">
        <v>66</v>
      </c>
      <c r="G6">
        <v>5.0000000000000001E-3</v>
      </c>
      <c r="H6" t="s">
        <v>66</v>
      </c>
      <c r="N6" s="25" t="s">
        <v>67</v>
      </c>
    </row>
    <row r="7" spans="1:14" ht="28.8" x14ac:dyDescent="0.3">
      <c r="A7" s="22" t="s">
        <v>68</v>
      </c>
      <c r="B7" s="31">
        <f>FV(B6,B5,B4,-30000,0)</f>
        <v>15052.280113420635</v>
      </c>
      <c r="C7" s="13"/>
      <c r="G7" s="32"/>
      <c r="I7" s="32"/>
      <c r="J7" s="13"/>
      <c r="N7" s="25" t="s">
        <v>69</v>
      </c>
    </row>
    <row r="8" spans="1:14" x14ac:dyDescent="0.3">
      <c r="A8" s="22"/>
      <c r="B8" s="21" t="s">
        <v>70</v>
      </c>
      <c r="C8" s="13"/>
      <c r="N8" s="25"/>
    </row>
    <row r="9" spans="1:14" x14ac:dyDescent="0.3">
      <c r="A9" s="13"/>
      <c r="B9" s="13"/>
      <c r="C9" s="13"/>
      <c r="N9" s="25"/>
    </row>
    <row r="10" spans="1:14" x14ac:dyDescent="0.3">
      <c r="G10" s="33">
        <v>0</v>
      </c>
      <c r="H10" t="s">
        <v>71</v>
      </c>
      <c r="N10" s="25"/>
    </row>
    <row r="11" spans="1:14" x14ac:dyDescent="0.3">
      <c r="B11" s="34"/>
    </row>
    <row r="14" spans="1:14" s="36" customFormat="1" ht="28.8" x14ac:dyDescent="0.3">
      <c r="A14" s="16" t="s">
        <v>72</v>
      </c>
      <c r="B14" s="16" t="s">
        <v>73</v>
      </c>
      <c r="C14" s="16" t="s">
        <v>31</v>
      </c>
      <c r="D14" s="16" t="s">
        <v>30</v>
      </c>
      <c r="E14" s="35" t="s">
        <v>74</v>
      </c>
      <c r="F14" s="35"/>
      <c r="G14" s="16" t="s">
        <v>72</v>
      </c>
      <c r="H14" s="16" t="s">
        <v>73</v>
      </c>
      <c r="I14" s="16" t="s">
        <v>31</v>
      </c>
      <c r="J14" s="16" t="s">
        <v>30</v>
      </c>
      <c r="K14" s="35" t="s">
        <v>74</v>
      </c>
    </row>
    <row r="15" spans="1:14" x14ac:dyDescent="0.3">
      <c r="A15">
        <v>1</v>
      </c>
      <c r="B15" s="18">
        <f>B3</f>
        <v>30000</v>
      </c>
      <c r="C15" s="18">
        <f>B15*$B$6</f>
        <v>150</v>
      </c>
      <c r="D15" s="32">
        <f>$B$4</f>
        <v>530</v>
      </c>
      <c r="E15" s="34">
        <f>B15+C15-D15</f>
        <v>29620</v>
      </c>
      <c r="F15" s="34"/>
      <c r="G15">
        <v>1</v>
      </c>
      <c r="H15" s="18">
        <f>G3</f>
        <v>30000</v>
      </c>
      <c r="I15" s="18">
        <f>H15*$G$6</f>
        <v>150</v>
      </c>
      <c r="J15" s="32">
        <f>$G$4</f>
        <v>-579.98404588283745</v>
      </c>
      <c r="K15" s="34">
        <f>H15+I15+J15</f>
        <v>29570.015954117163</v>
      </c>
    </row>
    <row r="16" spans="1:14" x14ac:dyDescent="0.3">
      <c r="A16">
        <v>2</v>
      </c>
      <c r="B16" s="32">
        <f>E15</f>
        <v>29620</v>
      </c>
      <c r="C16" s="18">
        <f>B16*$B$6</f>
        <v>148.1</v>
      </c>
      <c r="D16" s="32">
        <f t="shared" ref="D16:D81" si="0">$B$4</f>
        <v>530</v>
      </c>
      <c r="E16" s="34">
        <f t="shared" ref="E16:E20" si="1">B16+C16-D16</f>
        <v>29238.1</v>
      </c>
      <c r="F16" s="34"/>
      <c r="G16">
        <v>2</v>
      </c>
      <c r="H16" s="32">
        <f>K15</f>
        <v>29570.015954117163</v>
      </c>
      <c r="I16" s="18">
        <f>H16*$B$6</f>
        <v>147.85007977058581</v>
      </c>
      <c r="J16" s="32">
        <f t="shared" ref="J16:J79" si="2">$G$4</f>
        <v>-579.98404588283745</v>
      </c>
      <c r="K16" s="34">
        <f t="shared" ref="K16:K74" si="3">H16+I16+J16</f>
        <v>29137.881988004912</v>
      </c>
    </row>
    <row r="17" spans="1:11" x14ac:dyDescent="0.3">
      <c r="A17">
        <f>A16+1</f>
        <v>3</v>
      </c>
      <c r="B17" s="32">
        <f t="shared" ref="B17:B20" si="4">E16</f>
        <v>29238.1</v>
      </c>
      <c r="C17" s="18">
        <f>B17*$B$6</f>
        <v>146.19049999999999</v>
      </c>
      <c r="D17" s="32">
        <f t="shared" si="0"/>
        <v>530</v>
      </c>
      <c r="E17" s="34">
        <f t="shared" si="1"/>
        <v>28854.290499999999</v>
      </c>
      <c r="F17" s="34"/>
      <c r="G17">
        <f>G16+1</f>
        <v>3</v>
      </c>
      <c r="H17" s="32">
        <f t="shared" ref="H17:H20" si="5">K16</f>
        <v>29137.881988004912</v>
      </c>
      <c r="I17" s="18">
        <f>H17*$B$6</f>
        <v>145.68940994002458</v>
      </c>
      <c r="J17" s="32">
        <f t="shared" si="2"/>
        <v>-579.98404588283745</v>
      </c>
      <c r="K17" s="34">
        <f t="shared" si="3"/>
        <v>28703.587352062099</v>
      </c>
    </row>
    <row r="18" spans="1:11" x14ac:dyDescent="0.3">
      <c r="A18">
        <f t="shared" ref="A18:A49" si="6">A17+1</f>
        <v>4</v>
      </c>
      <c r="B18" s="32">
        <f t="shared" si="4"/>
        <v>28854.290499999999</v>
      </c>
      <c r="C18" s="18">
        <f>B18*$B$6</f>
        <v>144.27145250000001</v>
      </c>
      <c r="D18" s="32">
        <f t="shared" si="0"/>
        <v>530</v>
      </c>
      <c r="E18" s="34">
        <f t="shared" si="1"/>
        <v>28468.5619525</v>
      </c>
      <c r="F18" s="34"/>
      <c r="G18">
        <f t="shared" ref="G18:G49" si="7">G17+1</f>
        <v>4</v>
      </c>
      <c r="H18" s="32">
        <f t="shared" si="5"/>
        <v>28703.587352062099</v>
      </c>
      <c r="I18" s="18">
        <f>H18*$B$6</f>
        <v>143.5179367603105</v>
      </c>
      <c r="J18" s="32">
        <f t="shared" si="2"/>
        <v>-579.98404588283745</v>
      </c>
      <c r="K18" s="34">
        <f t="shared" si="3"/>
        <v>28267.121242939575</v>
      </c>
    </row>
    <row r="19" spans="1:11" x14ac:dyDescent="0.3">
      <c r="A19">
        <f t="shared" si="6"/>
        <v>5</v>
      </c>
      <c r="B19" s="32">
        <f t="shared" si="4"/>
        <v>28468.5619525</v>
      </c>
      <c r="C19" s="18">
        <f>B19*$B$6</f>
        <v>142.3428097625</v>
      </c>
      <c r="D19" s="32">
        <f t="shared" si="0"/>
        <v>530</v>
      </c>
      <c r="E19" s="34">
        <f t="shared" si="1"/>
        <v>28080.9047622625</v>
      </c>
      <c r="F19" s="34"/>
      <c r="G19">
        <f t="shared" si="7"/>
        <v>5</v>
      </c>
      <c r="H19" s="32">
        <f t="shared" si="5"/>
        <v>28267.121242939575</v>
      </c>
      <c r="I19" s="18">
        <f>H19*$B$6</f>
        <v>141.33560621469789</v>
      </c>
      <c r="J19" s="32">
        <f t="shared" si="2"/>
        <v>-579.98404588283745</v>
      </c>
      <c r="K19" s="34">
        <f t="shared" si="3"/>
        <v>27828.472803271437</v>
      </c>
    </row>
    <row r="20" spans="1:11" x14ac:dyDescent="0.3">
      <c r="A20">
        <f t="shared" si="6"/>
        <v>6</v>
      </c>
      <c r="B20" s="32">
        <f t="shared" si="4"/>
        <v>28080.9047622625</v>
      </c>
      <c r="C20" s="18">
        <f>B20*$B$6</f>
        <v>140.40452381131252</v>
      </c>
      <c r="D20" s="32">
        <f t="shared" si="0"/>
        <v>530</v>
      </c>
      <c r="E20" s="34">
        <f t="shared" si="1"/>
        <v>27691.309286073814</v>
      </c>
      <c r="F20" s="34"/>
      <c r="G20">
        <f t="shared" si="7"/>
        <v>6</v>
      </c>
      <c r="H20" s="32">
        <f t="shared" si="5"/>
        <v>27828.472803271437</v>
      </c>
      <c r="I20" s="18">
        <f>H20*$B$6</f>
        <v>139.14236401635719</v>
      </c>
      <c r="J20" s="32">
        <f t="shared" si="2"/>
        <v>-579.98404588283745</v>
      </c>
      <c r="K20" s="34">
        <f t="shared" si="3"/>
        <v>27387.631121404957</v>
      </c>
    </row>
    <row r="21" spans="1:11" x14ac:dyDescent="0.3">
      <c r="A21">
        <f t="shared" si="6"/>
        <v>7</v>
      </c>
      <c r="B21" s="32">
        <f>E20</f>
        <v>27691.309286073814</v>
      </c>
      <c r="C21" s="18">
        <f>B21*$B$6</f>
        <v>138.45654643036909</v>
      </c>
      <c r="D21" s="32">
        <f t="shared" si="0"/>
        <v>530</v>
      </c>
      <c r="E21" s="34">
        <f>B21+C21-D21</f>
        <v>27299.765832504185</v>
      </c>
      <c r="F21" s="34"/>
      <c r="G21">
        <f t="shared" si="7"/>
        <v>7</v>
      </c>
      <c r="H21" s="32">
        <f>K20</f>
        <v>27387.631121404957</v>
      </c>
      <c r="I21" s="18">
        <f>H21*$B$6</f>
        <v>136.93815560702478</v>
      </c>
      <c r="J21" s="32">
        <f t="shared" si="2"/>
        <v>-579.98404588283745</v>
      </c>
      <c r="K21" s="34">
        <f t="shared" si="3"/>
        <v>26944.585231129146</v>
      </c>
    </row>
    <row r="22" spans="1:11" x14ac:dyDescent="0.3">
      <c r="A22">
        <f t="shared" si="6"/>
        <v>8</v>
      </c>
      <c r="B22" s="32">
        <f>E21</f>
        <v>27299.765832504185</v>
      </c>
      <c r="C22" s="18">
        <f>B22*$B$6</f>
        <v>136.49882916252093</v>
      </c>
      <c r="D22" s="32">
        <f t="shared" si="0"/>
        <v>530</v>
      </c>
      <c r="E22" s="34">
        <f>B22+C22-D22</f>
        <v>26906.264661666704</v>
      </c>
      <c r="F22" s="34"/>
      <c r="G22">
        <f t="shared" si="7"/>
        <v>8</v>
      </c>
      <c r="H22" s="32">
        <f>K21</f>
        <v>26944.585231129146</v>
      </c>
      <c r="I22" s="18">
        <f>H22*$B$6</f>
        <v>134.72292615564572</v>
      </c>
      <c r="J22" s="32">
        <f t="shared" si="2"/>
        <v>-579.98404588283745</v>
      </c>
      <c r="K22" s="34">
        <f t="shared" si="3"/>
        <v>26499.324111401955</v>
      </c>
    </row>
    <row r="23" spans="1:11" x14ac:dyDescent="0.3">
      <c r="A23">
        <f t="shared" si="6"/>
        <v>9</v>
      </c>
      <c r="B23" s="32">
        <f>E22</f>
        <v>26906.264661666704</v>
      </c>
      <c r="C23" s="18">
        <f>B23*$B$6</f>
        <v>134.53132330833353</v>
      </c>
      <c r="D23" s="32">
        <f t="shared" si="0"/>
        <v>530</v>
      </c>
      <c r="E23" s="34">
        <f>B23+C23-D23</f>
        <v>26510.795984975037</v>
      </c>
      <c r="F23" s="34"/>
      <c r="G23">
        <f t="shared" si="7"/>
        <v>9</v>
      </c>
      <c r="H23" s="32">
        <f>K22</f>
        <v>26499.324111401955</v>
      </c>
      <c r="I23" s="18">
        <f>H23*$B$6</f>
        <v>132.49662055700978</v>
      </c>
      <c r="J23" s="32">
        <f t="shared" si="2"/>
        <v>-579.98404588283745</v>
      </c>
      <c r="K23" s="34">
        <f t="shared" si="3"/>
        <v>26051.836686076127</v>
      </c>
    </row>
    <row r="24" spans="1:11" x14ac:dyDescent="0.3">
      <c r="A24">
        <f t="shared" si="6"/>
        <v>10</v>
      </c>
      <c r="B24" s="32">
        <f>E23</f>
        <v>26510.795984975037</v>
      </c>
      <c r="C24" s="18">
        <f>B24*$B$6</f>
        <v>132.55397992487519</v>
      </c>
      <c r="D24" s="32">
        <f t="shared" si="0"/>
        <v>530</v>
      </c>
      <c r="E24" s="34">
        <f>B24+C24-D24</f>
        <v>26113.349964899913</v>
      </c>
      <c r="F24" s="34"/>
      <c r="G24">
        <f t="shared" si="7"/>
        <v>10</v>
      </c>
      <c r="H24" s="32">
        <f>K23</f>
        <v>26051.836686076127</v>
      </c>
      <c r="I24" s="18">
        <f>H24*$B$6</f>
        <v>130.25918343038063</v>
      </c>
      <c r="J24" s="32">
        <f t="shared" si="2"/>
        <v>-579.98404588283745</v>
      </c>
      <c r="K24" s="34">
        <f t="shared" si="3"/>
        <v>25602.111823623673</v>
      </c>
    </row>
    <row r="25" spans="1:11" x14ac:dyDescent="0.3">
      <c r="A25">
        <f t="shared" si="6"/>
        <v>11</v>
      </c>
      <c r="B25" s="32">
        <f>E24</f>
        <v>26113.349964899913</v>
      </c>
      <c r="C25" s="18">
        <f>B25*$B$6</f>
        <v>130.56674982449957</v>
      </c>
      <c r="D25" s="32">
        <f t="shared" si="0"/>
        <v>530</v>
      </c>
      <c r="E25" s="34">
        <f>B25+C25-D25</f>
        <v>25713.916714724412</v>
      </c>
      <c r="F25" s="34"/>
      <c r="G25">
        <f t="shared" si="7"/>
        <v>11</v>
      </c>
      <c r="H25" s="32">
        <f>K24</f>
        <v>25602.111823623673</v>
      </c>
      <c r="I25" s="18">
        <f>H25*$B$6</f>
        <v>128.01055911811835</v>
      </c>
      <c r="J25" s="32">
        <f t="shared" si="2"/>
        <v>-579.98404588283745</v>
      </c>
      <c r="K25" s="34">
        <f t="shared" si="3"/>
        <v>25150.138336858956</v>
      </c>
    </row>
    <row r="26" spans="1:11" x14ac:dyDescent="0.3">
      <c r="A26">
        <f t="shared" si="6"/>
        <v>12</v>
      </c>
      <c r="B26" s="32">
        <f>E25</f>
        <v>25713.916714724412</v>
      </c>
      <c r="C26" s="18">
        <f>B26*$B$6</f>
        <v>128.56958357362205</v>
      </c>
      <c r="D26" s="32">
        <f t="shared" si="0"/>
        <v>530</v>
      </c>
      <c r="E26" s="34">
        <f>B26+C26-D26</f>
        <v>25312.486298298034</v>
      </c>
      <c r="F26" s="34"/>
      <c r="G26">
        <f t="shared" si="7"/>
        <v>12</v>
      </c>
      <c r="H26" s="32">
        <f>K25</f>
        <v>25150.138336858956</v>
      </c>
      <c r="I26" s="18">
        <f>H26*$B$6</f>
        <v>125.75069168429478</v>
      </c>
      <c r="J26" s="32">
        <f t="shared" si="2"/>
        <v>-579.98404588283745</v>
      </c>
      <c r="K26" s="34">
        <f t="shared" si="3"/>
        <v>24695.904982660413</v>
      </c>
    </row>
    <row r="27" spans="1:11" x14ac:dyDescent="0.3">
      <c r="A27">
        <f t="shared" si="6"/>
        <v>13</v>
      </c>
      <c r="B27" s="32">
        <f>E26</f>
        <v>25312.486298298034</v>
      </c>
      <c r="C27" s="18">
        <f>B27*$B$6</f>
        <v>126.56243149149017</v>
      </c>
      <c r="D27" s="32">
        <f t="shared" si="0"/>
        <v>530</v>
      </c>
      <c r="E27" s="34">
        <f>B27+C27-D27</f>
        <v>24909.048729789523</v>
      </c>
      <c r="F27" s="34"/>
      <c r="G27">
        <f t="shared" si="7"/>
        <v>13</v>
      </c>
      <c r="H27" s="32">
        <f>K26</f>
        <v>24695.904982660413</v>
      </c>
      <c r="I27" s="18">
        <f>H27*$B$6</f>
        <v>123.47952491330207</v>
      </c>
      <c r="J27" s="32">
        <f t="shared" si="2"/>
        <v>-579.98404588283745</v>
      </c>
      <c r="K27" s="34">
        <f t="shared" si="3"/>
        <v>24239.400461690879</v>
      </c>
    </row>
    <row r="28" spans="1:11" x14ac:dyDescent="0.3">
      <c r="A28">
        <f t="shared" si="6"/>
        <v>14</v>
      </c>
      <c r="B28" s="32">
        <f>E27</f>
        <v>24909.048729789523</v>
      </c>
      <c r="C28" s="18">
        <f>B28*$B$6</f>
        <v>124.54524364894762</v>
      </c>
      <c r="D28" s="32">
        <f t="shared" si="0"/>
        <v>530</v>
      </c>
      <c r="E28" s="34">
        <f>B28+C28-D28</f>
        <v>24503.59397343847</v>
      </c>
      <c r="F28" s="34"/>
      <c r="G28">
        <f t="shared" si="7"/>
        <v>14</v>
      </c>
      <c r="H28" s="32">
        <f>K27</f>
        <v>24239.400461690879</v>
      </c>
      <c r="I28" s="18">
        <f>H28*$B$6</f>
        <v>121.1970023084544</v>
      </c>
      <c r="J28" s="32">
        <f t="shared" si="2"/>
        <v>-579.98404588283745</v>
      </c>
      <c r="K28" s="34">
        <f t="shared" si="3"/>
        <v>23780.613418116496</v>
      </c>
    </row>
    <row r="29" spans="1:11" x14ac:dyDescent="0.3">
      <c r="A29">
        <f t="shared" si="6"/>
        <v>15</v>
      </c>
      <c r="B29" s="32">
        <f>E28</f>
        <v>24503.59397343847</v>
      </c>
      <c r="C29" s="18">
        <f>B29*$B$6</f>
        <v>122.51796986719235</v>
      </c>
      <c r="D29" s="32">
        <f t="shared" si="0"/>
        <v>530</v>
      </c>
      <c r="E29" s="34">
        <f>B29+C29-D29</f>
        <v>24096.111943305663</v>
      </c>
      <c r="F29" s="34"/>
      <c r="G29">
        <f t="shared" si="7"/>
        <v>15</v>
      </c>
      <c r="H29" s="32">
        <f>K28</f>
        <v>23780.613418116496</v>
      </c>
      <c r="I29" s="18">
        <f>H29*$B$6</f>
        <v>118.90306709058248</v>
      </c>
      <c r="J29" s="32">
        <f t="shared" si="2"/>
        <v>-579.98404588283745</v>
      </c>
      <c r="K29" s="34">
        <f t="shared" si="3"/>
        <v>23319.532439324241</v>
      </c>
    </row>
    <row r="30" spans="1:11" x14ac:dyDescent="0.3">
      <c r="A30">
        <f t="shared" si="6"/>
        <v>16</v>
      </c>
      <c r="B30" s="32">
        <f>E29</f>
        <v>24096.111943305663</v>
      </c>
      <c r="C30" s="18">
        <f>B30*$B$6</f>
        <v>120.48055971652832</v>
      </c>
      <c r="D30" s="32">
        <f t="shared" si="0"/>
        <v>530</v>
      </c>
      <c r="E30" s="34">
        <f>B30+C30-D30</f>
        <v>23686.592503022192</v>
      </c>
      <c r="F30" s="34"/>
      <c r="G30">
        <f t="shared" si="7"/>
        <v>16</v>
      </c>
      <c r="H30" s="32">
        <f>K29</f>
        <v>23319.532439324241</v>
      </c>
      <c r="I30" s="18">
        <f>H30*$B$6</f>
        <v>116.5976621966212</v>
      </c>
      <c r="J30" s="32">
        <f t="shared" si="2"/>
        <v>-579.98404588283745</v>
      </c>
      <c r="K30" s="34">
        <f t="shared" si="3"/>
        <v>22856.146055638026</v>
      </c>
    </row>
    <row r="31" spans="1:11" x14ac:dyDescent="0.3">
      <c r="A31">
        <f t="shared" si="6"/>
        <v>17</v>
      </c>
      <c r="B31" s="32">
        <f>E30</f>
        <v>23686.592503022192</v>
      </c>
      <c r="C31" s="18">
        <f>B31*$B$6</f>
        <v>118.43296251511096</v>
      </c>
      <c r="D31" s="32">
        <f t="shared" si="0"/>
        <v>530</v>
      </c>
      <c r="E31" s="34">
        <f>B31+C31-D31</f>
        <v>23275.025465537303</v>
      </c>
      <c r="F31" s="34"/>
      <c r="G31">
        <f t="shared" si="7"/>
        <v>17</v>
      </c>
      <c r="H31" s="32">
        <f>K30</f>
        <v>22856.146055638026</v>
      </c>
      <c r="I31" s="18">
        <f>H31*$B$6</f>
        <v>114.28073027819013</v>
      </c>
      <c r="J31" s="32">
        <f t="shared" si="2"/>
        <v>-579.98404588283745</v>
      </c>
      <c r="K31" s="34">
        <f t="shared" si="3"/>
        <v>22390.442740033381</v>
      </c>
    </row>
    <row r="32" spans="1:11" x14ac:dyDescent="0.3">
      <c r="A32">
        <f t="shared" si="6"/>
        <v>18</v>
      </c>
      <c r="B32" s="32">
        <f>E31</f>
        <v>23275.025465537303</v>
      </c>
      <c r="C32" s="18">
        <f>B32*$B$6</f>
        <v>116.37512732768651</v>
      </c>
      <c r="D32" s="32">
        <f t="shared" si="0"/>
        <v>530</v>
      </c>
      <c r="E32" s="34">
        <f>B32+C32-D32</f>
        <v>22861.400592864989</v>
      </c>
      <c r="F32" s="34"/>
      <c r="G32">
        <f t="shared" si="7"/>
        <v>18</v>
      </c>
      <c r="H32" s="32">
        <f>K31</f>
        <v>22390.442740033381</v>
      </c>
      <c r="I32" s="18">
        <f>H32*$B$6</f>
        <v>111.95221370016691</v>
      </c>
      <c r="J32" s="32">
        <f t="shared" si="2"/>
        <v>-579.98404588283745</v>
      </c>
      <c r="K32" s="34">
        <f t="shared" si="3"/>
        <v>21922.41090785071</v>
      </c>
    </row>
    <row r="33" spans="1:11" x14ac:dyDescent="0.3">
      <c r="A33">
        <f t="shared" si="6"/>
        <v>19</v>
      </c>
      <c r="B33" s="32">
        <f>E32</f>
        <v>22861.400592864989</v>
      </c>
      <c r="C33" s="18">
        <f>B33*$B$6</f>
        <v>114.30700296432495</v>
      </c>
      <c r="D33" s="32">
        <f t="shared" si="0"/>
        <v>530</v>
      </c>
      <c r="E33" s="34">
        <f>B33+C33-D33</f>
        <v>22445.707595829314</v>
      </c>
      <c r="F33" s="34"/>
      <c r="G33">
        <f t="shared" si="7"/>
        <v>19</v>
      </c>
      <c r="H33" s="32">
        <f>K32</f>
        <v>21922.41090785071</v>
      </c>
      <c r="I33" s="18">
        <f>H33*$B$6</f>
        <v>109.61205453925355</v>
      </c>
      <c r="J33" s="32">
        <f t="shared" si="2"/>
        <v>-579.98404588283745</v>
      </c>
      <c r="K33" s="34">
        <f t="shared" si="3"/>
        <v>21452.038916507128</v>
      </c>
    </row>
    <row r="34" spans="1:11" x14ac:dyDescent="0.3">
      <c r="A34">
        <f t="shared" si="6"/>
        <v>20</v>
      </c>
      <c r="B34" s="32">
        <f>E33</f>
        <v>22445.707595829314</v>
      </c>
      <c r="C34" s="18">
        <f>B34*$B$6</f>
        <v>112.22853797914657</v>
      </c>
      <c r="D34" s="32">
        <f t="shared" si="0"/>
        <v>530</v>
      </c>
      <c r="E34" s="34">
        <f>B34+C34-D34</f>
        <v>22027.93613380846</v>
      </c>
      <c r="F34" s="34"/>
      <c r="G34">
        <f t="shared" si="7"/>
        <v>20</v>
      </c>
      <c r="H34" s="32">
        <f>K33</f>
        <v>21452.038916507128</v>
      </c>
      <c r="I34" s="18">
        <f>H34*$B$6</f>
        <v>107.26019458253565</v>
      </c>
      <c r="J34" s="32">
        <f t="shared" si="2"/>
        <v>-579.98404588283745</v>
      </c>
      <c r="K34" s="34">
        <f t="shared" si="3"/>
        <v>20979.315065206829</v>
      </c>
    </row>
    <row r="35" spans="1:11" x14ac:dyDescent="0.3">
      <c r="A35">
        <f t="shared" si="6"/>
        <v>21</v>
      </c>
      <c r="B35" s="32">
        <f>E34</f>
        <v>22027.93613380846</v>
      </c>
      <c r="C35" s="18">
        <f>B35*$B$6</f>
        <v>110.13968066904231</v>
      </c>
      <c r="D35" s="32">
        <f t="shared" si="0"/>
        <v>530</v>
      </c>
      <c r="E35" s="34">
        <f>B35+C35-D35</f>
        <v>21608.075814477503</v>
      </c>
      <c r="F35" s="34"/>
      <c r="G35">
        <f t="shared" si="7"/>
        <v>21</v>
      </c>
      <c r="H35" s="32">
        <f>K34</f>
        <v>20979.315065206829</v>
      </c>
      <c r="I35" s="18">
        <f>H35*$B$6</f>
        <v>104.89657532603415</v>
      </c>
      <c r="J35" s="32">
        <f t="shared" si="2"/>
        <v>-579.98404588283745</v>
      </c>
      <c r="K35" s="34">
        <f t="shared" si="3"/>
        <v>20504.227594650027</v>
      </c>
    </row>
    <row r="36" spans="1:11" x14ac:dyDescent="0.3">
      <c r="A36">
        <f t="shared" si="6"/>
        <v>22</v>
      </c>
      <c r="B36" s="32">
        <f>E35</f>
        <v>21608.075814477503</v>
      </c>
      <c r="C36" s="18">
        <f>B36*$B$6</f>
        <v>108.04037907238751</v>
      </c>
      <c r="D36" s="32">
        <f t="shared" si="0"/>
        <v>530</v>
      </c>
      <c r="E36" s="34">
        <f>B36+C36-D36</f>
        <v>21186.116193549889</v>
      </c>
      <c r="F36" s="34"/>
      <c r="G36">
        <f t="shared" si="7"/>
        <v>22</v>
      </c>
      <c r="H36" s="32">
        <f>K35</f>
        <v>20504.227594650027</v>
      </c>
      <c r="I36" s="18">
        <f>H36*$B$6</f>
        <v>102.52113797325013</v>
      </c>
      <c r="J36" s="32">
        <f t="shared" si="2"/>
        <v>-579.98404588283745</v>
      </c>
      <c r="K36" s="34">
        <f t="shared" si="3"/>
        <v>20026.76468674044</v>
      </c>
    </row>
    <row r="37" spans="1:11" x14ac:dyDescent="0.3">
      <c r="A37">
        <f t="shared" si="6"/>
        <v>23</v>
      </c>
      <c r="B37" s="32">
        <f>E36</f>
        <v>21186.116193549889</v>
      </c>
      <c r="C37" s="18">
        <f>B37*$B$6</f>
        <v>105.93058096774945</v>
      </c>
      <c r="D37" s="32">
        <f t="shared" si="0"/>
        <v>530</v>
      </c>
      <c r="E37" s="34">
        <f>B37+C37-D37</f>
        <v>20762.046774517639</v>
      </c>
      <c r="F37" s="34"/>
      <c r="G37">
        <f t="shared" si="7"/>
        <v>23</v>
      </c>
      <c r="H37" s="32">
        <f>K36</f>
        <v>20026.76468674044</v>
      </c>
      <c r="I37" s="18">
        <f>H37*$B$6</f>
        <v>100.1338234337022</v>
      </c>
      <c r="J37" s="32">
        <f t="shared" si="2"/>
        <v>-579.98404588283745</v>
      </c>
      <c r="K37" s="34">
        <f t="shared" si="3"/>
        <v>19546.914464291305</v>
      </c>
    </row>
    <row r="38" spans="1:11" x14ac:dyDescent="0.3">
      <c r="A38">
        <f t="shared" si="6"/>
        <v>24</v>
      </c>
      <c r="B38" s="32">
        <f>E37</f>
        <v>20762.046774517639</v>
      </c>
      <c r="C38" s="18">
        <f>B38*$B$6</f>
        <v>103.8102338725882</v>
      </c>
      <c r="D38" s="32">
        <f t="shared" si="0"/>
        <v>530</v>
      </c>
      <c r="E38" s="34">
        <f>B38+C38-D38</f>
        <v>20335.857008390227</v>
      </c>
      <c r="F38" s="34"/>
      <c r="G38">
        <f t="shared" si="7"/>
        <v>24</v>
      </c>
      <c r="H38" s="32">
        <f>K37</f>
        <v>19546.914464291305</v>
      </c>
      <c r="I38" s="18">
        <f>H38*$B$6</f>
        <v>97.734572321456525</v>
      </c>
      <c r="J38" s="32">
        <f t="shared" si="2"/>
        <v>-579.98404588283745</v>
      </c>
      <c r="K38" s="34">
        <f t="shared" si="3"/>
        <v>19064.664990729925</v>
      </c>
    </row>
    <row r="39" spans="1:11" x14ac:dyDescent="0.3">
      <c r="A39">
        <f>A38+1</f>
        <v>25</v>
      </c>
      <c r="B39" s="32">
        <f>E38</f>
        <v>20335.857008390227</v>
      </c>
      <c r="C39" s="18">
        <f>B39*$B$6</f>
        <v>101.67928504195113</v>
      </c>
      <c r="D39" s="32">
        <f t="shared" si="0"/>
        <v>530</v>
      </c>
      <c r="E39" s="34">
        <f>B39+C39-D39</f>
        <v>19907.536293432178</v>
      </c>
      <c r="F39" s="34"/>
      <c r="G39">
        <f>G38+1</f>
        <v>25</v>
      </c>
      <c r="H39" s="32">
        <f>K38</f>
        <v>19064.664990729925</v>
      </c>
      <c r="I39" s="18">
        <f>H39*$B$6</f>
        <v>95.323324953649632</v>
      </c>
      <c r="J39" s="32">
        <f t="shared" si="2"/>
        <v>-579.98404588283745</v>
      </c>
      <c r="K39" s="34">
        <f t="shared" si="3"/>
        <v>18580.004269800738</v>
      </c>
    </row>
    <row r="40" spans="1:11" x14ac:dyDescent="0.3">
      <c r="A40">
        <f t="shared" si="6"/>
        <v>26</v>
      </c>
      <c r="B40" s="32">
        <f>E39</f>
        <v>19907.536293432178</v>
      </c>
      <c r="C40" s="18">
        <f>B40*$B$6</f>
        <v>99.537681467160894</v>
      </c>
      <c r="D40" s="32">
        <f t="shared" si="0"/>
        <v>530</v>
      </c>
      <c r="E40" s="34">
        <f>B40+C40-D40</f>
        <v>19477.07397489934</v>
      </c>
      <c r="F40" s="34"/>
      <c r="G40">
        <f t="shared" ref="G40:G71" si="8">G39+1</f>
        <v>26</v>
      </c>
      <c r="H40" s="32">
        <f>K39</f>
        <v>18580.004269800738</v>
      </c>
      <c r="I40" s="18">
        <f>H40*$B$6</f>
        <v>92.900021349003694</v>
      </c>
      <c r="J40" s="32">
        <f t="shared" si="2"/>
        <v>-579.98404588283745</v>
      </c>
      <c r="K40" s="34">
        <f t="shared" si="3"/>
        <v>18092.920245266905</v>
      </c>
    </row>
    <row r="41" spans="1:11" x14ac:dyDescent="0.3">
      <c r="A41">
        <f t="shared" si="6"/>
        <v>27</v>
      </c>
      <c r="B41" s="32">
        <f>E40</f>
        <v>19477.07397489934</v>
      </c>
      <c r="C41" s="18">
        <f>B41*$B$6</f>
        <v>97.385369874496703</v>
      </c>
      <c r="D41" s="32">
        <f t="shared" si="0"/>
        <v>530</v>
      </c>
      <c r="E41" s="34">
        <f>B41+C41-D41</f>
        <v>19044.459344773837</v>
      </c>
      <c r="F41" s="34"/>
      <c r="G41">
        <f t="shared" si="8"/>
        <v>27</v>
      </c>
      <c r="H41" s="32">
        <f>K40</f>
        <v>18092.920245266905</v>
      </c>
      <c r="I41" s="18">
        <f>H41*$B$6</f>
        <v>90.464601226334523</v>
      </c>
      <c r="J41" s="32">
        <f t="shared" si="2"/>
        <v>-579.98404588283745</v>
      </c>
      <c r="K41" s="34">
        <f t="shared" si="3"/>
        <v>17603.400800610401</v>
      </c>
    </row>
    <row r="42" spans="1:11" x14ac:dyDescent="0.3">
      <c r="A42">
        <f t="shared" si="6"/>
        <v>28</v>
      </c>
      <c r="B42" s="32">
        <f>E41</f>
        <v>19044.459344773837</v>
      </c>
      <c r="C42" s="18">
        <f>B42*$B$6</f>
        <v>95.222296723869192</v>
      </c>
      <c r="D42" s="32">
        <f t="shared" si="0"/>
        <v>530</v>
      </c>
      <c r="E42" s="34">
        <f>B42+C42-D42</f>
        <v>18609.681641497707</v>
      </c>
      <c r="F42" s="34"/>
      <c r="G42">
        <f t="shared" si="8"/>
        <v>28</v>
      </c>
      <c r="H42" s="32">
        <f>K41</f>
        <v>17603.400800610401</v>
      </c>
      <c r="I42" s="18">
        <f>H42*$B$6</f>
        <v>88.017004003052008</v>
      </c>
      <c r="J42" s="32">
        <f t="shared" si="2"/>
        <v>-579.98404588283745</v>
      </c>
      <c r="K42" s="34">
        <f t="shared" si="3"/>
        <v>17111.433758730618</v>
      </c>
    </row>
    <row r="43" spans="1:11" x14ac:dyDescent="0.3">
      <c r="A43">
        <f t="shared" si="6"/>
        <v>29</v>
      </c>
      <c r="B43" s="32">
        <f>E42</f>
        <v>18609.681641497707</v>
      </c>
      <c r="C43" s="18">
        <f>B43*$B$6</f>
        <v>93.048408207488535</v>
      </c>
      <c r="D43" s="32">
        <f t="shared" si="0"/>
        <v>530</v>
      </c>
      <c r="E43" s="34">
        <f>B43+C43-D43</f>
        <v>18172.730049705195</v>
      </c>
      <c r="F43" s="34"/>
      <c r="G43">
        <f t="shared" si="8"/>
        <v>29</v>
      </c>
      <c r="H43" s="32">
        <f>K42</f>
        <v>17111.433758730618</v>
      </c>
      <c r="I43" s="18">
        <f>H43*$B$6</f>
        <v>85.557168793653091</v>
      </c>
      <c r="J43" s="32">
        <f t="shared" si="2"/>
        <v>-579.98404588283745</v>
      </c>
      <c r="K43" s="34">
        <f t="shared" si="3"/>
        <v>16617.006881641435</v>
      </c>
    </row>
    <row r="44" spans="1:11" x14ac:dyDescent="0.3">
      <c r="A44">
        <f t="shared" si="6"/>
        <v>30</v>
      </c>
      <c r="B44" s="32">
        <f>E43</f>
        <v>18172.730049705195</v>
      </c>
      <c r="C44" s="18">
        <f>B44*$B$6</f>
        <v>90.863650248525971</v>
      </c>
      <c r="D44" s="32">
        <f t="shared" si="0"/>
        <v>530</v>
      </c>
      <c r="E44" s="34">
        <f>B44+C44-D44</f>
        <v>17733.593699953719</v>
      </c>
      <c r="F44" s="34"/>
      <c r="G44">
        <f t="shared" si="8"/>
        <v>30</v>
      </c>
      <c r="H44" s="32">
        <f>K43</f>
        <v>16617.006881641435</v>
      </c>
      <c r="I44" s="18">
        <f>H44*$B$6</f>
        <v>83.085034408207179</v>
      </c>
      <c r="J44" s="32">
        <f t="shared" si="2"/>
        <v>-579.98404588283745</v>
      </c>
      <c r="K44" s="34">
        <f t="shared" si="3"/>
        <v>16120.107870166805</v>
      </c>
    </row>
    <row r="45" spans="1:11" x14ac:dyDescent="0.3">
      <c r="A45">
        <f t="shared" si="6"/>
        <v>31</v>
      </c>
      <c r="B45" s="32">
        <f>E44</f>
        <v>17733.593699953719</v>
      </c>
      <c r="C45" s="18">
        <f>B45*$B$6</f>
        <v>88.667968499768591</v>
      </c>
      <c r="D45" s="32">
        <f t="shared" si="0"/>
        <v>530</v>
      </c>
      <c r="E45" s="34">
        <f>B45+C45-D45</f>
        <v>17292.261668453488</v>
      </c>
      <c r="F45" s="34"/>
      <c r="G45">
        <f t="shared" si="8"/>
        <v>31</v>
      </c>
      <c r="H45" s="32">
        <f>K44</f>
        <v>16120.107870166805</v>
      </c>
      <c r="I45" s="18">
        <f>H45*$B$6</f>
        <v>80.600539350834026</v>
      </c>
      <c r="J45" s="32">
        <f t="shared" si="2"/>
        <v>-579.98404588283745</v>
      </c>
      <c r="K45" s="34">
        <f t="shared" si="3"/>
        <v>15620.724363634803</v>
      </c>
    </row>
    <row r="46" spans="1:11" x14ac:dyDescent="0.3">
      <c r="A46">
        <f t="shared" si="6"/>
        <v>32</v>
      </c>
      <c r="B46" s="32">
        <f>E45</f>
        <v>17292.261668453488</v>
      </c>
      <c r="C46" s="18">
        <f>B46*$B$6</f>
        <v>86.461308342267444</v>
      </c>
      <c r="D46" s="32">
        <f t="shared" si="0"/>
        <v>530</v>
      </c>
      <c r="E46" s="34">
        <f>B46+C46-D46</f>
        <v>16848.722976795754</v>
      </c>
      <c r="F46" s="34"/>
      <c r="G46">
        <f t="shared" si="8"/>
        <v>32</v>
      </c>
      <c r="H46" s="32">
        <f>K45</f>
        <v>15620.724363634803</v>
      </c>
      <c r="I46" s="18">
        <f>H46*$B$6</f>
        <v>78.10362181817402</v>
      </c>
      <c r="J46" s="32">
        <f t="shared" si="2"/>
        <v>-579.98404588283745</v>
      </c>
      <c r="K46" s="34">
        <f t="shared" si="3"/>
        <v>15118.843939570141</v>
      </c>
    </row>
    <row r="47" spans="1:11" x14ac:dyDescent="0.3">
      <c r="A47">
        <f t="shared" si="6"/>
        <v>33</v>
      </c>
      <c r="B47" s="32">
        <f>E46</f>
        <v>16848.722976795754</v>
      </c>
      <c r="C47" s="18">
        <f>B47*$B$6</f>
        <v>84.243614883978779</v>
      </c>
      <c r="D47" s="32">
        <f t="shared" si="0"/>
        <v>530</v>
      </c>
      <c r="E47" s="34">
        <f>B47+C47-D47</f>
        <v>16402.966591679731</v>
      </c>
      <c r="F47" s="34"/>
      <c r="G47">
        <f t="shared" si="8"/>
        <v>33</v>
      </c>
      <c r="H47" s="32">
        <f>K46</f>
        <v>15118.843939570141</v>
      </c>
      <c r="I47" s="18">
        <f>H47*$B$6</f>
        <v>75.594219697850704</v>
      </c>
      <c r="J47" s="32">
        <f t="shared" si="2"/>
        <v>-579.98404588283745</v>
      </c>
      <c r="K47" s="34">
        <f t="shared" si="3"/>
        <v>14614.454113385154</v>
      </c>
    </row>
    <row r="48" spans="1:11" x14ac:dyDescent="0.3">
      <c r="A48">
        <f t="shared" si="6"/>
        <v>34</v>
      </c>
      <c r="B48" s="32">
        <f>E47</f>
        <v>16402.966591679731</v>
      </c>
      <c r="C48" s="18">
        <f>B48*$B$6</f>
        <v>82.014832958398657</v>
      </c>
      <c r="D48" s="32">
        <f t="shared" si="0"/>
        <v>530</v>
      </c>
      <c r="E48" s="34">
        <f>B48+C48-D48</f>
        <v>15954.981424638128</v>
      </c>
      <c r="F48" s="34"/>
      <c r="G48">
        <f t="shared" si="8"/>
        <v>34</v>
      </c>
      <c r="H48" s="32">
        <f>K47</f>
        <v>14614.454113385154</v>
      </c>
      <c r="I48" s="18">
        <f>H48*$B$6</f>
        <v>73.072270566925781</v>
      </c>
      <c r="J48" s="32">
        <f t="shared" si="2"/>
        <v>-579.98404588283745</v>
      </c>
      <c r="K48" s="34">
        <f t="shared" si="3"/>
        <v>14107.542338069243</v>
      </c>
    </row>
    <row r="49" spans="1:11" x14ac:dyDescent="0.3">
      <c r="A49">
        <f t="shared" si="6"/>
        <v>35</v>
      </c>
      <c r="B49" s="32">
        <f>E48</f>
        <v>15954.981424638128</v>
      </c>
      <c r="C49" s="18">
        <f>B49*$B$6</f>
        <v>79.774907123190644</v>
      </c>
      <c r="D49" s="32">
        <f t="shared" si="0"/>
        <v>530</v>
      </c>
      <c r="E49" s="34">
        <f>B49+C49-D49</f>
        <v>15504.756331761319</v>
      </c>
      <c r="F49" s="34"/>
      <c r="G49">
        <f t="shared" si="8"/>
        <v>35</v>
      </c>
      <c r="H49" s="32">
        <f>K48</f>
        <v>14107.542338069243</v>
      </c>
      <c r="I49" s="18">
        <f>H49*$B$6</f>
        <v>70.537711690346214</v>
      </c>
      <c r="J49" s="32">
        <f t="shared" si="2"/>
        <v>-579.98404588283745</v>
      </c>
      <c r="K49" s="34">
        <f t="shared" si="3"/>
        <v>13598.096003876752</v>
      </c>
    </row>
    <row r="50" spans="1:11" x14ac:dyDescent="0.3">
      <c r="A50" s="21">
        <f>A49+1</f>
        <v>36</v>
      </c>
      <c r="B50" s="31">
        <f>E49</f>
        <v>15504.756331761319</v>
      </c>
      <c r="C50" s="37">
        <f>B50*$B$6</f>
        <v>77.523781658806598</v>
      </c>
      <c r="D50" s="31">
        <f t="shared" si="0"/>
        <v>530</v>
      </c>
      <c r="E50" s="38">
        <f>B50+C50-D50</f>
        <v>15052.280113420125</v>
      </c>
      <c r="F50" s="38"/>
      <c r="G50" s="21">
        <f>G49+1</f>
        <v>36</v>
      </c>
      <c r="H50" s="31">
        <f>K49</f>
        <v>13598.096003876752</v>
      </c>
      <c r="I50" s="37">
        <f>H50*$B$6</f>
        <v>67.990480019383753</v>
      </c>
      <c r="J50" s="32">
        <f t="shared" si="2"/>
        <v>-579.98404588283745</v>
      </c>
      <c r="K50" s="34">
        <f t="shared" si="3"/>
        <v>13086.102438013299</v>
      </c>
    </row>
    <row r="51" spans="1:11" x14ac:dyDescent="0.3">
      <c r="A51">
        <f t="shared" ref="A51:A81" si="9">A50+1</f>
        <v>37</v>
      </c>
      <c r="B51" s="32">
        <f>E50</f>
        <v>15052.280113420125</v>
      </c>
      <c r="C51" s="18">
        <f>B51*$B$6</f>
        <v>75.261400567100623</v>
      </c>
      <c r="D51" s="32">
        <f t="shared" si="0"/>
        <v>530</v>
      </c>
      <c r="E51" s="34">
        <f>B51+C51-D51</f>
        <v>14597.541513987226</v>
      </c>
      <c r="F51" s="34"/>
      <c r="G51">
        <f t="shared" ref="G51:G81" si="10">G50+1</f>
        <v>37</v>
      </c>
      <c r="H51" s="32">
        <f>K50</f>
        <v>13086.102438013299</v>
      </c>
      <c r="I51" s="18">
        <f>H51*$B$6</f>
        <v>65.430512190066494</v>
      </c>
      <c r="J51" s="32">
        <f t="shared" si="2"/>
        <v>-579.98404588283745</v>
      </c>
      <c r="K51" s="34">
        <f t="shared" si="3"/>
        <v>12571.548904320529</v>
      </c>
    </row>
    <row r="52" spans="1:11" x14ac:dyDescent="0.3">
      <c r="A52">
        <f t="shared" si="9"/>
        <v>38</v>
      </c>
      <c r="B52" s="32">
        <f>E51</f>
        <v>14597.541513987226</v>
      </c>
      <c r="C52" s="18">
        <f>B52*$B$6</f>
        <v>72.987707569936134</v>
      </c>
      <c r="D52" s="32">
        <f t="shared" si="0"/>
        <v>530</v>
      </c>
      <c r="E52" s="34">
        <f>B52+C52-D52</f>
        <v>14140.529221557163</v>
      </c>
      <c r="F52" s="34"/>
      <c r="G52">
        <f t="shared" si="10"/>
        <v>38</v>
      </c>
      <c r="H52" s="32">
        <f>K51</f>
        <v>12571.548904320529</v>
      </c>
      <c r="I52" s="18">
        <f>H52*$B$6</f>
        <v>62.857744521602648</v>
      </c>
      <c r="J52" s="32">
        <f t="shared" si="2"/>
        <v>-579.98404588283745</v>
      </c>
      <c r="K52" s="34">
        <f t="shared" si="3"/>
        <v>12054.422602959296</v>
      </c>
    </row>
    <row r="53" spans="1:11" x14ac:dyDescent="0.3">
      <c r="A53">
        <f t="shared" si="9"/>
        <v>39</v>
      </c>
      <c r="B53" s="32">
        <f>E52</f>
        <v>14140.529221557163</v>
      </c>
      <c r="C53" s="18">
        <f>B53*$B$6</f>
        <v>70.70264610778581</v>
      </c>
      <c r="D53" s="32">
        <f t="shared" si="0"/>
        <v>530</v>
      </c>
      <c r="E53" s="34">
        <f>B53+C53-D53</f>
        <v>13681.231867664948</v>
      </c>
      <c r="F53" s="34"/>
      <c r="G53">
        <f t="shared" si="10"/>
        <v>39</v>
      </c>
      <c r="H53" s="32">
        <f>K52</f>
        <v>12054.422602959296</v>
      </c>
      <c r="I53" s="18">
        <f>H53*$B$6</f>
        <v>60.272113014796481</v>
      </c>
      <c r="J53" s="32">
        <f t="shared" si="2"/>
        <v>-579.98404588283745</v>
      </c>
      <c r="K53" s="34">
        <f t="shared" si="3"/>
        <v>11534.710670091255</v>
      </c>
    </row>
    <row r="54" spans="1:11" x14ac:dyDescent="0.3">
      <c r="A54">
        <f t="shared" si="9"/>
        <v>40</v>
      </c>
      <c r="B54" s="32">
        <f>E53</f>
        <v>13681.231867664948</v>
      </c>
      <c r="C54" s="18">
        <f>B54*$B$6</f>
        <v>68.406159338324741</v>
      </c>
      <c r="D54" s="32">
        <f t="shared" si="0"/>
        <v>530</v>
      </c>
      <c r="E54" s="34">
        <f>B54+C54-D54</f>
        <v>13219.638027003273</v>
      </c>
      <c r="F54" s="34"/>
      <c r="G54">
        <f t="shared" si="10"/>
        <v>40</v>
      </c>
      <c r="H54" s="32">
        <f>K53</f>
        <v>11534.710670091255</v>
      </c>
      <c r="I54" s="18">
        <f>H54*$B$6</f>
        <v>57.673553350456281</v>
      </c>
      <c r="J54" s="32">
        <f t="shared" si="2"/>
        <v>-579.98404588283745</v>
      </c>
      <c r="K54" s="34">
        <f t="shared" si="3"/>
        <v>11012.400177558875</v>
      </c>
    </row>
    <row r="55" spans="1:11" x14ac:dyDescent="0.3">
      <c r="A55">
        <f t="shared" si="9"/>
        <v>41</v>
      </c>
      <c r="B55" s="32">
        <f>E54</f>
        <v>13219.638027003273</v>
      </c>
      <c r="C55" s="18">
        <f>B55*$B$6</f>
        <v>66.098190135016367</v>
      </c>
      <c r="D55" s="32">
        <f t="shared" si="0"/>
        <v>530</v>
      </c>
      <c r="E55" s="34">
        <f>B55+C55-D55</f>
        <v>12755.73621713829</v>
      </c>
      <c r="F55" s="34"/>
      <c r="G55">
        <f t="shared" si="10"/>
        <v>41</v>
      </c>
      <c r="H55" s="32">
        <f>K54</f>
        <v>11012.400177558875</v>
      </c>
      <c r="I55" s="18">
        <f>H55*$B$6</f>
        <v>55.062000887794376</v>
      </c>
      <c r="J55" s="32">
        <f t="shared" si="2"/>
        <v>-579.98404588283745</v>
      </c>
      <c r="K55" s="34">
        <f t="shared" si="3"/>
        <v>10487.478132563832</v>
      </c>
    </row>
    <row r="56" spans="1:11" x14ac:dyDescent="0.3">
      <c r="A56">
        <f t="shared" si="9"/>
        <v>42</v>
      </c>
      <c r="B56" s="32">
        <f>E55</f>
        <v>12755.73621713829</v>
      </c>
      <c r="C56" s="18">
        <f>B56*$B$6</f>
        <v>63.778681085691453</v>
      </c>
      <c r="D56" s="32">
        <f t="shared" si="0"/>
        <v>530</v>
      </c>
      <c r="E56" s="34">
        <f>B56+C56-D56</f>
        <v>12289.514898223981</v>
      </c>
      <c r="F56" s="34"/>
      <c r="G56">
        <f t="shared" si="10"/>
        <v>42</v>
      </c>
      <c r="H56" s="32">
        <f>K55</f>
        <v>10487.478132563832</v>
      </c>
      <c r="I56" s="18">
        <f>H56*$B$6</f>
        <v>52.437390662819162</v>
      </c>
      <c r="J56" s="32">
        <f t="shared" si="2"/>
        <v>-579.98404588283745</v>
      </c>
      <c r="K56" s="34">
        <f t="shared" si="3"/>
        <v>9959.9314773438145</v>
      </c>
    </row>
    <row r="57" spans="1:11" x14ac:dyDescent="0.3">
      <c r="A57">
        <f t="shared" si="9"/>
        <v>43</v>
      </c>
      <c r="B57" s="32">
        <f>E56</f>
        <v>12289.514898223981</v>
      </c>
      <c r="C57" s="18">
        <f>B57*$B$6</f>
        <v>61.447574491119902</v>
      </c>
      <c r="D57" s="32">
        <f t="shared" si="0"/>
        <v>530</v>
      </c>
      <c r="E57" s="34">
        <f>B57+C57-D57</f>
        <v>11820.9624727151</v>
      </c>
      <c r="F57" s="34"/>
      <c r="G57">
        <f t="shared" si="10"/>
        <v>43</v>
      </c>
      <c r="H57" s="32">
        <f>K56</f>
        <v>9959.9314773438145</v>
      </c>
      <c r="I57" s="18">
        <f>H57*$B$6</f>
        <v>49.799657386719076</v>
      </c>
      <c r="J57" s="32">
        <f t="shared" si="2"/>
        <v>-579.98404588283745</v>
      </c>
      <c r="K57" s="34">
        <f t="shared" si="3"/>
        <v>9429.7470888476964</v>
      </c>
    </row>
    <row r="58" spans="1:11" x14ac:dyDescent="0.3">
      <c r="A58">
        <f t="shared" si="9"/>
        <v>44</v>
      </c>
      <c r="B58" s="32">
        <f>E57</f>
        <v>11820.9624727151</v>
      </c>
      <c r="C58" s="18">
        <f>B58*$B$6</f>
        <v>59.104812363575505</v>
      </c>
      <c r="D58" s="32">
        <f t="shared" si="0"/>
        <v>530</v>
      </c>
      <c r="E58" s="34">
        <f>B58+C58-D58</f>
        <v>11350.067285078676</v>
      </c>
      <c r="F58" s="34"/>
      <c r="G58">
        <f t="shared" si="10"/>
        <v>44</v>
      </c>
      <c r="H58" s="32">
        <f>K57</f>
        <v>9429.7470888476964</v>
      </c>
      <c r="I58" s="18">
        <f>H58*$B$6</f>
        <v>47.148735444238483</v>
      </c>
      <c r="J58" s="32">
        <f t="shared" si="2"/>
        <v>-579.98404588283745</v>
      </c>
      <c r="K58" s="34">
        <f t="shared" si="3"/>
        <v>8896.9117784090977</v>
      </c>
    </row>
    <row r="59" spans="1:11" x14ac:dyDescent="0.3">
      <c r="A59">
        <f t="shared" si="9"/>
        <v>45</v>
      </c>
      <c r="B59" s="32">
        <f>E58</f>
        <v>11350.067285078676</v>
      </c>
      <c r="C59" s="18">
        <f>B59*$B$6</f>
        <v>56.750336425393378</v>
      </c>
      <c r="D59" s="32">
        <f t="shared" si="0"/>
        <v>530</v>
      </c>
      <c r="E59" s="34">
        <f>B59+C59-D59</f>
        <v>10876.817621504069</v>
      </c>
      <c r="F59" s="34"/>
      <c r="G59">
        <f t="shared" si="10"/>
        <v>45</v>
      </c>
      <c r="H59" s="32">
        <f>K58</f>
        <v>8896.9117784090977</v>
      </c>
      <c r="I59" s="18">
        <f>H59*$B$6</f>
        <v>44.484558892045492</v>
      </c>
      <c r="J59" s="32">
        <f t="shared" si="2"/>
        <v>-579.98404588283745</v>
      </c>
      <c r="K59" s="34">
        <f t="shared" si="3"/>
        <v>8361.4122914183063</v>
      </c>
    </row>
    <row r="60" spans="1:11" x14ac:dyDescent="0.3">
      <c r="A60">
        <f t="shared" si="9"/>
        <v>46</v>
      </c>
      <c r="B60" s="32">
        <f>E59</f>
        <v>10876.817621504069</v>
      </c>
      <c r="C60" s="18">
        <f>B60*$B$6</f>
        <v>54.384088107520348</v>
      </c>
      <c r="D60" s="32">
        <f t="shared" si="0"/>
        <v>530</v>
      </c>
      <c r="E60" s="34">
        <f>B60+C60-D60</f>
        <v>10401.201709611591</v>
      </c>
      <c r="F60" s="34"/>
      <c r="G60">
        <f t="shared" si="10"/>
        <v>46</v>
      </c>
      <c r="H60" s="32">
        <f>K59</f>
        <v>8361.4122914183063</v>
      </c>
      <c r="I60" s="18">
        <f>H60*$B$6</f>
        <v>41.807061457091535</v>
      </c>
      <c r="J60" s="32">
        <f t="shared" si="2"/>
        <v>-579.98404588283745</v>
      </c>
      <c r="K60" s="34">
        <f t="shared" si="3"/>
        <v>7823.2353069925603</v>
      </c>
    </row>
    <row r="61" spans="1:11" x14ac:dyDescent="0.3">
      <c r="A61">
        <f t="shared" si="9"/>
        <v>47</v>
      </c>
      <c r="B61" s="32">
        <f>E60</f>
        <v>10401.201709611591</v>
      </c>
      <c r="C61" s="18">
        <f>B61*$B$6</f>
        <v>52.006008548057956</v>
      </c>
      <c r="D61" s="32">
        <f t="shared" si="0"/>
        <v>530</v>
      </c>
      <c r="E61" s="34">
        <f>B61+C61-D61</f>
        <v>9923.2077181596487</v>
      </c>
      <c r="F61" s="34"/>
      <c r="G61">
        <f t="shared" si="10"/>
        <v>47</v>
      </c>
      <c r="H61" s="32">
        <f>K60</f>
        <v>7823.2353069925603</v>
      </c>
      <c r="I61" s="18">
        <f>H61*$B$6</f>
        <v>39.116176534962804</v>
      </c>
      <c r="J61" s="32">
        <f t="shared" si="2"/>
        <v>-579.98404588283745</v>
      </c>
      <c r="K61" s="34">
        <f t="shared" si="3"/>
        <v>7282.3674376446852</v>
      </c>
    </row>
    <row r="62" spans="1:11" x14ac:dyDescent="0.3">
      <c r="A62">
        <f t="shared" si="9"/>
        <v>48</v>
      </c>
      <c r="B62" s="32">
        <f>E61</f>
        <v>9923.2077181596487</v>
      </c>
      <c r="C62" s="18">
        <f>B62*$B$6</f>
        <v>49.616038590798247</v>
      </c>
      <c r="D62" s="32">
        <f t="shared" si="0"/>
        <v>530</v>
      </c>
      <c r="E62" s="34">
        <f>B62+C62-D62</f>
        <v>9442.8237567504475</v>
      </c>
      <c r="F62" s="34"/>
      <c r="G62">
        <f t="shared" si="10"/>
        <v>48</v>
      </c>
      <c r="H62" s="32">
        <f>K61</f>
        <v>7282.3674376446852</v>
      </c>
      <c r="I62" s="18">
        <f>H62*$B$6</f>
        <v>36.41183718822343</v>
      </c>
      <c r="J62" s="32">
        <f t="shared" si="2"/>
        <v>-579.98404588283745</v>
      </c>
      <c r="K62" s="34">
        <f t="shared" si="3"/>
        <v>6738.7952289500709</v>
      </c>
    </row>
    <row r="63" spans="1:11" x14ac:dyDescent="0.3">
      <c r="A63">
        <f t="shared" si="9"/>
        <v>49</v>
      </c>
      <c r="B63" s="32">
        <f>E62</f>
        <v>9442.8237567504475</v>
      </c>
      <c r="C63" s="18">
        <f>B63*$B$6</f>
        <v>47.214118783752241</v>
      </c>
      <c r="D63" s="32">
        <f t="shared" si="0"/>
        <v>530</v>
      </c>
      <c r="E63" s="34">
        <f>B63+C63-D63</f>
        <v>8960.037875534199</v>
      </c>
      <c r="F63" s="34"/>
      <c r="G63">
        <f t="shared" si="10"/>
        <v>49</v>
      </c>
      <c r="H63" s="32">
        <f>K62</f>
        <v>6738.7952289500709</v>
      </c>
      <c r="I63" s="18">
        <f>H63*$B$6</f>
        <v>33.693976144750351</v>
      </c>
      <c r="J63" s="32">
        <f t="shared" si="2"/>
        <v>-579.98404588283745</v>
      </c>
      <c r="K63" s="34">
        <f t="shared" si="3"/>
        <v>6192.5051592119835</v>
      </c>
    </row>
    <row r="64" spans="1:11" x14ac:dyDescent="0.3">
      <c r="A64">
        <f t="shared" si="9"/>
        <v>50</v>
      </c>
      <c r="B64" s="32">
        <f>E63</f>
        <v>8960.037875534199</v>
      </c>
      <c r="C64" s="18">
        <f>B64*$B$6</f>
        <v>44.800189377670996</v>
      </c>
      <c r="D64" s="32">
        <f t="shared" si="0"/>
        <v>530</v>
      </c>
      <c r="E64" s="34">
        <f>B64+C64-D64</f>
        <v>8474.8380649118699</v>
      </c>
      <c r="F64" s="34"/>
      <c r="G64">
        <f t="shared" si="10"/>
        <v>50</v>
      </c>
      <c r="H64" s="32">
        <f>K63</f>
        <v>6192.5051592119835</v>
      </c>
      <c r="I64" s="18">
        <f>H64*$B$6</f>
        <v>30.962525796059918</v>
      </c>
      <c r="J64" s="32">
        <f t="shared" si="2"/>
        <v>-579.98404588283745</v>
      </c>
      <c r="K64" s="34">
        <f t="shared" si="3"/>
        <v>5643.4836391252056</v>
      </c>
    </row>
    <row r="65" spans="1:11" x14ac:dyDescent="0.3">
      <c r="A65">
        <f t="shared" si="9"/>
        <v>51</v>
      </c>
      <c r="B65" s="32">
        <f>E64</f>
        <v>8474.8380649118699</v>
      </c>
      <c r="C65" s="18">
        <f>B65*$B$6</f>
        <v>42.374190324559351</v>
      </c>
      <c r="D65" s="32">
        <f t="shared" si="0"/>
        <v>530</v>
      </c>
      <c r="E65" s="34">
        <f>B65+C65-D65</f>
        <v>7987.212255236429</v>
      </c>
      <c r="F65" s="34"/>
      <c r="G65">
        <f t="shared" si="10"/>
        <v>51</v>
      </c>
      <c r="H65" s="32">
        <f>K64</f>
        <v>5643.4836391252056</v>
      </c>
      <c r="I65" s="18">
        <f>H65*$B$6</f>
        <v>28.217418195626028</v>
      </c>
      <c r="J65" s="32">
        <f t="shared" si="2"/>
        <v>-579.98404588283745</v>
      </c>
      <c r="K65" s="34">
        <f t="shared" si="3"/>
        <v>5091.7170114379942</v>
      </c>
    </row>
    <row r="66" spans="1:11" x14ac:dyDescent="0.3">
      <c r="A66">
        <f t="shared" si="9"/>
        <v>52</v>
      </c>
      <c r="B66" s="32">
        <f>E65</f>
        <v>7987.212255236429</v>
      </c>
      <c r="C66" s="18">
        <f>B66*$B$6</f>
        <v>39.936061276182144</v>
      </c>
      <c r="D66" s="32">
        <f t="shared" si="0"/>
        <v>530</v>
      </c>
      <c r="E66" s="34">
        <f>B66+C66-D66</f>
        <v>7497.148316512611</v>
      </c>
      <c r="F66" s="34"/>
      <c r="G66">
        <f t="shared" si="10"/>
        <v>52</v>
      </c>
      <c r="H66" s="32">
        <f>K65</f>
        <v>5091.7170114379942</v>
      </c>
      <c r="I66" s="18">
        <f>H66*$B$6</f>
        <v>25.458585057189971</v>
      </c>
      <c r="J66" s="32">
        <f t="shared" si="2"/>
        <v>-579.98404588283745</v>
      </c>
      <c r="K66" s="34">
        <f t="shared" si="3"/>
        <v>4537.1915506123469</v>
      </c>
    </row>
    <row r="67" spans="1:11" x14ac:dyDescent="0.3">
      <c r="A67">
        <f t="shared" si="9"/>
        <v>53</v>
      </c>
      <c r="B67" s="32">
        <f>E66</f>
        <v>7497.148316512611</v>
      </c>
      <c r="C67" s="18">
        <f>B67*$B$6</f>
        <v>37.485741582563058</v>
      </c>
      <c r="D67" s="32">
        <f t="shared" si="0"/>
        <v>530</v>
      </c>
      <c r="E67" s="34">
        <f>B67+C67-D67</f>
        <v>7004.6340580951737</v>
      </c>
      <c r="F67" s="34"/>
      <c r="G67">
        <f t="shared" si="10"/>
        <v>53</v>
      </c>
      <c r="H67" s="32">
        <f>K66</f>
        <v>4537.1915506123469</v>
      </c>
      <c r="I67" s="18">
        <f>H67*$B$6</f>
        <v>22.685957753061736</v>
      </c>
      <c r="J67" s="32">
        <f t="shared" si="2"/>
        <v>-579.98404588283745</v>
      </c>
      <c r="K67" s="34">
        <f t="shared" si="3"/>
        <v>3979.8934624825706</v>
      </c>
    </row>
    <row r="68" spans="1:11" x14ac:dyDescent="0.3">
      <c r="A68">
        <f t="shared" si="9"/>
        <v>54</v>
      </c>
      <c r="B68" s="32">
        <f>E67</f>
        <v>7004.6340580951737</v>
      </c>
      <c r="C68" s="18">
        <f>B68*$B$6</f>
        <v>35.023170290475868</v>
      </c>
      <c r="D68" s="32">
        <f t="shared" si="0"/>
        <v>530</v>
      </c>
      <c r="E68" s="34">
        <f>B68+C68-D68</f>
        <v>6509.6572283856494</v>
      </c>
      <c r="F68" s="34"/>
      <c r="G68">
        <f t="shared" si="10"/>
        <v>54</v>
      </c>
      <c r="H68" s="32">
        <f>K67</f>
        <v>3979.8934624825706</v>
      </c>
      <c r="I68" s="18">
        <f>H68*$B$6</f>
        <v>19.899467312412852</v>
      </c>
      <c r="J68" s="32">
        <f t="shared" si="2"/>
        <v>-579.98404588283745</v>
      </c>
      <c r="K68" s="34">
        <f t="shared" si="3"/>
        <v>3419.808883912146</v>
      </c>
    </row>
    <row r="69" spans="1:11" x14ac:dyDescent="0.3">
      <c r="A69">
        <f t="shared" si="9"/>
        <v>55</v>
      </c>
      <c r="B69" s="32">
        <f>E68</f>
        <v>6509.6572283856494</v>
      </c>
      <c r="C69" s="18">
        <f>B69*$B$6</f>
        <v>32.548286141928244</v>
      </c>
      <c r="D69" s="32">
        <f t="shared" si="0"/>
        <v>530</v>
      </c>
      <c r="E69" s="34">
        <f>B69+C69-D69</f>
        <v>6012.2055145275781</v>
      </c>
      <c r="F69" s="34"/>
      <c r="G69">
        <f t="shared" si="10"/>
        <v>55</v>
      </c>
      <c r="H69" s="32">
        <f>K68</f>
        <v>3419.808883912146</v>
      </c>
      <c r="I69" s="18">
        <f>H69*$B$6</f>
        <v>17.09904441956073</v>
      </c>
      <c r="J69" s="32">
        <f t="shared" si="2"/>
        <v>-579.98404588283745</v>
      </c>
      <c r="K69" s="34">
        <f t="shared" si="3"/>
        <v>2856.9238824488693</v>
      </c>
    </row>
    <row r="70" spans="1:11" x14ac:dyDescent="0.3">
      <c r="A70">
        <f t="shared" si="9"/>
        <v>56</v>
      </c>
      <c r="B70" s="32">
        <f>E69</f>
        <v>6012.2055145275781</v>
      </c>
      <c r="C70" s="18">
        <f>B70*$B$6</f>
        <v>30.06102757263789</v>
      </c>
      <c r="D70" s="32">
        <f t="shared" si="0"/>
        <v>530</v>
      </c>
      <c r="E70" s="34">
        <f>B70+C70-D70</f>
        <v>5512.2665421002157</v>
      </c>
      <c r="F70" s="34"/>
      <c r="G70">
        <f t="shared" si="10"/>
        <v>56</v>
      </c>
      <c r="H70" s="32">
        <f>K69</f>
        <v>2856.9238824488693</v>
      </c>
      <c r="I70" s="18">
        <f>H70*$B$6</f>
        <v>14.284619412244346</v>
      </c>
      <c r="J70" s="32">
        <f t="shared" si="2"/>
        <v>-579.98404588283745</v>
      </c>
      <c r="K70" s="34">
        <f t="shared" si="3"/>
        <v>2291.2244559782762</v>
      </c>
    </row>
    <row r="71" spans="1:11" x14ac:dyDescent="0.3">
      <c r="A71">
        <f t="shared" si="9"/>
        <v>57</v>
      </c>
      <c r="B71" s="32">
        <f>E70</f>
        <v>5512.2665421002157</v>
      </c>
      <c r="C71" s="18">
        <f>B71*$B$6</f>
        <v>27.56133271050108</v>
      </c>
      <c r="D71" s="32">
        <f t="shared" si="0"/>
        <v>530</v>
      </c>
      <c r="E71" s="34">
        <f>B71+C71-D71</f>
        <v>5009.8278748107168</v>
      </c>
      <c r="F71" s="34"/>
      <c r="G71">
        <f t="shared" si="10"/>
        <v>57</v>
      </c>
      <c r="H71" s="32">
        <f>K70</f>
        <v>2291.2244559782762</v>
      </c>
      <c r="I71" s="18">
        <f>H71*$B$6</f>
        <v>11.456122279891382</v>
      </c>
      <c r="J71" s="32">
        <f t="shared" si="2"/>
        <v>-579.98404588283745</v>
      </c>
      <c r="K71" s="34">
        <f t="shared" si="3"/>
        <v>1722.6965323753302</v>
      </c>
    </row>
    <row r="72" spans="1:11" x14ac:dyDescent="0.3">
      <c r="A72">
        <f t="shared" si="9"/>
        <v>58</v>
      </c>
      <c r="B72" s="32">
        <f>E71</f>
        <v>5009.8278748107168</v>
      </c>
      <c r="C72" s="18">
        <f>B72*$B$6</f>
        <v>25.049139374053585</v>
      </c>
      <c r="D72" s="32">
        <f t="shared" si="0"/>
        <v>530</v>
      </c>
      <c r="E72" s="34">
        <f>B72+C72-D72</f>
        <v>4504.8770141847708</v>
      </c>
      <c r="F72" s="34"/>
      <c r="G72">
        <f t="shared" si="10"/>
        <v>58</v>
      </c>
      <c r="H72" s="32">
        <f>K71</f>
        <v>1722.6965323753302</v>
      </c>
      <c r="I72" s="18">
        <f>H72*$B$6</f>
        <v>8.6134826618766507</v>
      </c>
      <c r="J72" s="32">
        <f t="shared" si="2"/>
        <v>-579.98404588283745</v>
      </c>
      <c r="K72" s="34">
        <f t="shared" si="3"/>
        <v>1151.3259691543694</v>
      </c>
    </row>
    <row r="73" spans="1:11" x14ac:dyDescent="0.3">
      <c r="A73">
        <f t="shared" si="9"/>
        <v>59</v>
      </c>
      <c r="B73" s="32">
        <f>E72</f>
        <v>4504.8770141847708</v>
      </c>
      <c r="C73" s="18">
        <f>B73*$B$6</f>
        <v>22.524385070923856</v>
      </c>
      <c r="D73" s="32">
        <f t="shared" si="0"/>
        <v>530</v>
      </c>
      <c r="E73" s="34">
        <f>B73+C73-D73</f>
        <v>3997.4013992556947</v>
      </c>
      <c r="F73" s="34"/>
      <c r="G73">
        <f t="shared" si="10"/>
        <v>59</v>
      </c>
      <c r="H73" s="32">
        <f>K72</f>
        <v>1151.3259691543694</v>
      </c>
      <c r="I73" s="18">
        <f>H73*$B$6</f>
        <v>5.7566298457718474</v>
      </c>
      <c r="J73" s="32">
        <f t="shared" si="2"/>
        <v>-579.98404588283745</v>
      </c>
      <c r="K73" s="34">
        <f t="shared" si="3"/>
        <v>577.09855311730382</v>
      </c>
    </row>
    <row r="74" spans="1:11" x14ac:dyDescent="0.3">
      <c r="A74">
        <f t="shared" si="9"/>
        <v>60</v>
      </c>
      <c r="B74" s="32">
        <f>E73</f>
        <v>3997.4013992556947</v>
      </c>
      <c r="C74" s="18">
        <f>B74*$B$6</f>
        <v>19.987006996278474</v>
      </c>
      <c r="D74" s="32">
        <f t="shared" si="0"/>
        <v>530</v>
      </c>
      <c r="E74" s="34">
        <f>B74+C74-D74</f>
        <v>3487.3884062519733</v>
      </c>
      <c r="F74" s="34"/>
      <c r="G74">
        <f t="shared" si="10"/>
        <v>60</v>
      </c>
      <c r="H74" s="32">
        <f>K73</f>
        <v>577.09855311730382</v>
      </c>
      <c r="I74" s="18">
        <f>H74*$B$6</f>
        <v>2.8854927655865192</v>
      </c>
      <c r="J74" s="32">
        <f t="shared" si="2"/>
        <v>-579.98404588283745</v>
      </c>
      <c r="K74" s="34">
        <f t="shared" si="3"/>
        <v>5.2864379540551454E-11</v>
      </c>
    </row>
    <row r="75" spans="1:11" x14ac:dyDescent="0.3">
      <c r="A75">
        <f t="shared" si="9"/>
        <v>61</v>
      </c>
      <c r="B75" s="32">
        <f>E74</f>
        <v>3487.3884062519733</v>
      </c>
      <c r="C75" s="18">
        <f>B75*$B$6</f>
        <v>17.436942031259868</v>
      </c>
      <c r="D75" s="32">
        <f t="shared" si="0"/>
        <v>530</v>
      </c>
      <c r="E75" s="34">
        <f>B75+C75-D75</f>
        <v>2974.8253482832333</v>
      </c>
      <c r="F75" s="34"/>
      <c r="H75" s="32"/>
      <c r="I75" s="18"/>
      <c r="J75" s="32"/>
      <c r="K75" s="34"/>
    </row>
    <row r="76" spans="1:11" x14ac:dyDescent="0.3">
      <c r="A76">
        <f t="shared" si="9"/>
        <v>62</v>
      </c>
      <c r="B76" s="32">
        <f>E75</f>
        <v>2974.8253482832333</v>
      </c>
      <c r="C76" s="18">
        <f>B76*$B$6</f>
        <v>14.874126741416166</v>
      </c>
      <c r="D76" s="32">
        <f t="shared" si="0"/>
        <v>530</v>
      </c>
      <c r="E76" s="34">
        <f>B76+C76-D76</f>
        <v>2459.6994750246495</v>
      </c>
      <c r="F76" s="34"/>
      <c r="H76" s="32"/>
      <c r="I76" s="18"/>
      <c r="J76" s="32"/>
      <c r="K76" s="34"/>
    </row>
    <row r="77" spans="1:11" x14ac:dyDescent="0.3">
      <c r="A77">
        <f t="shared" si="9"/>
        <v>63</v>
      </c>
      <c r="B77" s="32">
        <f>E76</f>
        <v>2459.6994750246495</v>
      </c>
      <c r="C77" s="18">
        <f>B77*$B$6</f>
        <v>12.298497375123247</v>
      </c>
      <c r="D77" s="32">
        <f t="shared" si="0"/>
        <v>530</v>
      </c>
      <c r="E77" s="34">
        <f>B77+C77-D77</f>
        <v>1941.9979723997726</v>
      </c>
      <c r="F77" s="34"/>
      <c r="H77" s="32"/>
      <c r="I77" s="18"/>
      <c r="J77" s="32"/>
      <c r="K77" s="34"/>
    </row>
    <row r="78" spans="1:11" x14ac:dyDescent="0.3">
      <c r="A78">
        <f t="shared" si="9"/>
        <v>64</v>
      </c>
      <c r="B78" s="32">
        <f t="shared" ref="B78:B80" si="11">E77</f>
        <v>1941.9979723997726</v>
      </c>
      <c r="C78" s="18">
        <f t="shared" ref="C78:C80" si="12">B78*$B$6</f>
        <v>9.7099898619988636</v>
      </c>
      <c r="D78" s="32">
        <f t="shared" si="0"/>
        <v>530</v>
      </c>
      <c r="E78" s="34">
        <f t="shared" ref="E78:E80" si="13">B78+C78-D78</f>
        <v>1421.7079622617714</v>
      </c>
      <c r="F78" s="34"/>
      <c r="H78" s="32"/>
      <c r="I78" s="18"/>
      <c r="J78" s="32"/>
      <c r="K78" s="34"/>
    </row>
    <row r="79" spans="1:11" x14ac:dyDescent="0.3">
      <c r="A79">
        <f t="shared" si="9"/>
        <v>65</v>
      </c>
      <c r="B79" s="32">
        <f t="shared" si="11"/>
        <v>1421.7079622617714</v>
      </c>
      <c r="C79" s="18">
        <f t="shared" si="12"/>
        <v>7.1085398113088569</v>
      </c>
      <c r="D79" s="32">
        <f t="shared" si="0"/>
        <v>530</v>
      </c>
      <c r="E79" s="34">
        <f t="shared" si="13"/>
        <v>898.8165020730803</v>
      </c>
      <c r="F79" s="34"/>
      <c r="H79" s="32"/>
      <c r="I79" s="18"/>
      <c r="J79" s="32"/>
      <c r="K79" s="34"/>
    </row>
    <row r="80" spans="1:11" x14ac:dyDescent="0.3">
      <c r="A80">
        <f t="shared" si="9"/>
        <v>66</v>
      </c>
      <c r="B80" s="32">
        <f t="shared" si="11"/>
        <v>898.8165020730803</v>
      </c>
      <c r="C80" s="18">
        <f t="shared" si="12"/>
        <v>4.4940825103654012</v>
      </c>
      <c r="D80" s="32">
        <f t="shared" si="0"/>
        <v>530</v>
      </c>
      <c r="E80" s="34">
        <f t="shared" si="13"/>
        <v>373.31058458344569</v>
      </c>
      <c r="F80" s="34"/>
      <c r="H80" s="32"/>
      <c r="I80" s="18"/>
      <c r="J80" s="32"/>
      <c r="K80" s="34"/>
    </row>
    <row r="81" spans="1:11" x14ac:dyDescent="0.3">
      <c r="A81">
        <f t="shared" si="9"/>
        <v>67</v>
      </c>
      <c r="B81" s="32">
        <f>E80</f>
        <v>373.31058458344569</v>
      </c>
      <c r="C81" s="18">
        <f>B81*$B$6</f>
        <v>1.8665529229172284</v>
      </c>
      <c r="D81" s="32">
        <f t="shared" si="0"/>
        <v>530</v>
      </c>
      <c r="E81" s="34">
        <f>B81+C81-D81</f>
        <v>-154.8228624936371</v>
      </c>
      <c r="F81" s="34"/>
      <c r="H81" s="32"/>
      <c r="I81" s="18"/>
      <c r="J81" s="32"/>
      <c r="K81" s="34"/>
    </row>
    <row r="82" spans="1:11" x14ac:dyDescent="0.3">
      <c r="A82" s="32"/>
      <c r="B82" s="18"/>
      <c r="C82" s="32"/>
      <c r="D82" s="34"/>
      <c r="G82" s="32"/>
      <c r="H82" s="18"/>
      <c r="I82" s="32"/>
      <c r="J82" s="34"/>
    </row>
    <row r="83" spans="1:11" x14ac:dyDescent="0.3">
      <c r="A83" s="32"/>
      <c r="B83" s="18"/>
      <c r="C83" s="32"/>
      <c r="D83" s="34"/>
    </row>
    <row r="84" spans="1:11" x14ac:dyDescent="0.3">
      <c r="A84" s="32"/>
      <c r="B84" s="18"/>
      <c r="C84" s="32"/>
      <c r="D84" s="34"/>
    </row>
    <row r="85" spans="1:11" x14ac:dyDescent="0.3">
      <c r="A85" s="32"/>
      <c r="B85" s="18"/>
      <c r="C85" s="32"/>
      <c r="D85" s="34"/>
    </row>
    <row r="86" spans="1:11" x14ac:dyDescent="0.3">
      <c r="A86" s="32"/>
      <c r="B86" s="18"/>
      <c r="C86" s="32"/>
      <c r="D86" s="34"/>
    </row>
    <row r="87" spans="1:11" x14ac:dyDescent="0.3">
      <c r="A87" s="32"/>
      <c r="B87" s="18"/>
      <c r="C87" s="32"/>
      <c r="D87" s="34"/>
    </row>
    <row r="88" spans="1:11" x14ac:dyDescent="0.3">
      <c r="A88" s="32"/>
      <c r="B88" s="18"/>
      <c r="C88" s="32"/>
      <c r="D88" s="34"/>
    </row>
    <row r="89" spans="1:11" x14ac:dyDescent="0.3">
      <c r="A89" s="32"/>
      <c r="B89" s="18"/>
      <c r="C89" s="32"/>
      <c r="D89" s="34"/>
    </row>
    <row r="90" spans="1:11" x14ac:dyDescent="0.3">
      <c r="A90" s="32"/>
      <c r="B90" s="18"/>
      <c r="C90" s="32"/>
      <c r="D90" s="34"/>
    </row>
    <row r="91" spans="1:11" x14ac:dyDescent="0.3">
      <c r="A91" s="32"/>
      <c r="B91" s="18"/>
      <c r="C91" s="32"/>
      <c r="D91" s="34"/>
    </row>
    <row r="92" spans="1:11" x14ac:dyDescent="0.3">
      <c r="A92" s="32"/>
      <c r="B92" s="18"/>
      <c r="C92" s="32"/>
      <c r="D92" s="34"/>
    </row>
    <row r="93" spans="1:11" x14ac:dyDescent="0.3">
      <c r="A93" s="32"/>
      <c r="B93" s="18"/>
      <c r="C93" s="32"/>
      <c r="D93" s="34"/>
    </row>
    <row r="94" spans="1:11" x14ac:dyDescent="0.3">
      <c r="A94" s="32"/>
      <c r="B94" s="18"/>
      <c r="C94" s="32"/>
      <c r="D94" s="34"/>
    </row>
    <row r="95" spans="1:11" x14ac:dyDescent="0.3">
      <c r="A95" s="32"/>
      <c r="B95" s="18"/>
      <c r="C95" s="32"/>
      <c r="D95" s="34"/>
    </row>
    <row r="96" spans="1:11" x14ac:dyDescent="0.3">
      <c r="A96" s="32"/>
      <c r="B96" s="18"/>
      <c r="C96" s="32"/>
      <c r="D96" s="34"/>
    </row>
    <row r="97" spans="1:4" x14ac:dyDescent="0.3">
      <c r="A97" s="32"/>
      <c r="B97" s="18"/>
      <c r="C97" s="32"/>
      <c r="D97" s="34"/>
    </row>
    <row r="98" spans="1:4" x14ac:dyDescent="0.3">
      <c r="A98" s="32"/>
      <c r="B98" s="18"/>
      <c r="C98" s="32"/>
      <c r="D98" s="34"/>
    </row>
    <row r="99" spans="1:4" x14ac:dyDescent="0.3">
      <c r="A99" s="32"/>
      <c r="B99" s="18"/>
      <c r="C99" s="32"/>
      <c r="D99" s="34"/>
    </row>
    <row r="100" spans="1:4" x14ac:dyDescent="0.3">
      <c r="A100" s="32"/>
      <c r="B100" s="18"/>
      <c r="C100" s="32"/>
      <c r="D100" s="34"/>
    </row>
    <row r="101" spans="1:4" x14ac:dyDescent="0.3">
      <c r="A101" s="32"/>
      <c r="B101" s="18"/>
      <c r="C101" s="32"/>
      <c r="D101" s="34"/>
    </row>
    <row r="102" spans="1:4" x14ac:dyDescent="0.3">
      <c r="A102" s="32"/>
      <c r="B102" s="18"/>
      <c r="C102" s="32"/>
      <c r="D102" s="34"/>
    </row>
    <row r="103" spans="1:4" x14ac:dyDescent="0.3">
      <c r="A103" s="32"/>
      <c r="B103" s="18"/>
      <c r="C103" s="32"/>
      <c r="D103" s="34"/>
    </row>
    <row r="104" spans="1:4" x14ac:dyDescent="0.3">
      <c r="A104" s="32"/>
      <c r="B104" s="18"/>
      <c r="C104" s="32"/>
      <c r="D104" s="34"/>
    </row>
    <row r="105" spans="1:4" x14ac:dyDescent="0.3">
      <c r="A105" s="32"/>
      <c r="B105" s="18"/>
      <c r="C105" s="32"/>
      <c r="D105" s="34"/>
    </row>
    <row r="106" spans="1:4" x14ac:dyDescent="0.3">
      <c r="A106" s="32"/>
      <c r="B106" s="18"/>
      <c r="C106" s="32"/>
      <c r="D106" s="34"/>
    </row>
    <row r="107" spans="1:4" x14ac:dyDescent="0.3">
      <c r="A107" s="32"/>
      <c r="B107" s="18"/>
      <c r="C107" s="32"/>
      <c r="D107" s="34"/>
    </row>
    <row r="108" spans="1:4" x14ac:dyDescent="0.3">
      <c r="A108" s="32"/>
      <c r="B108" s="18"/>
      <c r="C108" s="32"/>
      <c r="D108" s="34"/>
    </row>
    <row r="109" spans="1:4" x14ac:dyDescent="0.3">
      <c r="A109" s="32"/>
      <c r="B109" s="18"/>
      <c r="C109" s="32"/>
      <c r="D109" s="34"/>
    </row>
    <row r="110" spans="1:4" x14ac:dyDescent="0.3">
      <c r="A110" s="32"/>
      <c r="B110" s="18"/>
      <c r="C110" s="32"/>
      <c r="D110" s="34"/>
    </row>
    <row r="111" spans="1:4" x14ac:dyDescent="0.3">
      <c r="A111" s="32"/>
      <c r="B111" s="18"/>
      <c r="C111" s="32"/>
      <c r="D111" s="34"/>
    </row>
    <row r="112" spans="1:4" x14ac:dyDescent="0.3">
      <c r="A112" s="32"/>
      <c r="B112" s="18"/>
      <c r="C112" s="32"/>
      <c r="D112" s="34"/>
    </row>
    <row r="113" spans="1:4" x14ac:dyDescent="0.3">
      <c r="A113" s="32"/>
      <c r="B113" s="18"/>
      <c r="C113" s="32"/>
      <c r="D113" s="34"/>
    </row>
    <row r="114" spans="1:4" x14ac:dyDescent="0.3">
      <c r="A114" s="32"/>
      <c r="B114" s="18"/>
      <c r="C114" s="32"/>
      <c r="D114" s="34"/>
    </row>
    <row r="115" spans="1:4" x14ac:dyDescent="0.3">
      <c r="A115" s="32"/>
      <c r="B115" s="18"/>
      <c r="C115" s="32"/>
      <c r="D115" s="34"/>
    </row>
    <row r="116" spans="1:4" x14ac:dyDescent="0.3">
      <c r="A116" s="32"/>
      <c r="B116" s="18"/>
      <c r="C116" s="32"/>
      <c r="D116" s="34"/>
    </row>
    <row r="117" spans="1:4" x14ac:dyDescent="0.3">
      <c r="A117" s="32"/>
      <c r="B117" s="18"/>
      <c r="C117" s="32"/>
      <c r="D117" s="34"/>
    </row>
    <row r="118" spans="1:4" x14ac:dyDescent="0.3">
      <c r="A118" s="32"/>
      <c r="B118" s="18"/>
      <c r="C118" s="32"/>
      <c r="D118" s="34"/>
    </row>
    <row r="119" spans="1:4" x14ac:dyDescent="0.3">
      <c r="A119" s="32"/>
      <c r="B119" s="18"/>
      <c r="C119" s="32"/>
      <c r="D119" s="34"/>
    </row>
    <row r="120" spans="1:4" x14ac:dyDescent="0.3">
      <c r="A120" s="32"/>
      <c r="B120" s="18"/>
      <c r="C120" s="32"/>
      <c r="D120" s="34"/>
    </row>
    <row r="121" spans="1:4" x14ac:dyDescent="0.3">
      <c r="A121" s="32"/>
      <c r="B121" s="18"/>
      <c r="C121" s="32"/>
      <c r="D121" s="34"/>
    </row>
    <row r="122" spans="1:4" x14ac:dyDescent="0.3">
      <c r="A122" s="32"/>
      <c r="B122" s="18"/>
      <c r="C122" s="32"/>
      <c r="D122" s="34"/>
    </row>
    <row r="123" spans="1:4" x14ac:dyDescent="0.3">
      <c r="A123" s="32"/>
      <c r="B123" s="18"/>
      <c r="C123" s="32"/>
      <c r="D123" s="34"/>
    </row>
    <row r="124" spans="1:4" x14ac:dyDescent="0.3">
      <c r="A124" s="32"/>
      <c r="B124" s="18"/>
      <c r="C124" s="32"/>
      <c r="D124" s="34"/>
    </row>
    <row r="125" spans="1:4" x14ac:dyDescent="0.3">
      <c r="A125" s="32"/>
      <c r="B125" s="18"/>
      <c r="C125" s="32"/>
      <c r="D125" s="34"/>
    </row>
    <row r="126" spans="1:4" x14ac:dyDescent="0.3">
      <c r="A126" s="32"/>
      <c r="B126" s="18"/>
      <c r="C126" s="32"/>
      <c r="D126" s="34"/>
    </row>
    <row r="127" spans="1:4" x14ac:dyDescent="0.3">
      <c r="A127" s="32"/>
      <c r="B127" s="18"/>
      <c r="C127" s="32"/>
      <c r="D127" s="34"/>
    </row>
    <row r="128" spans="1:4" x14ac:dyDescent="0.3">
      <c r="A128" s="32"/>
      <c r="B128" s="18"/>
      <c r="C128" s="32"/>
      <c r="D128" s="34"/>
    </row>
    <row r="129" spans="1:4" x14ac:dyDescent="0.3">
      <c r="A129" s="32"/>
      <c r="B129" s="18"/>
      <c r="C129" s="32"/>
      <c r="D129" s="34"/>
    </row>
    <row r="130" spans="1:4" x14ac:dyDescent="0.3">
      <c r="A130" s="32"/>
      <c r="B130" s="18"/>
      <c r="C130" s="32"/>
      <c r="D130" s="34"/>
    </row>
    <row r="131" spans="1:4" x14ac:dyDescent="0.3">
      <c r="A131" s="32"/>
      <c r="B131" s="18"/>
      <c r="C131" s="32"/>
      <c r="D131" s="34"/>
    </row>
    <row r="132" spans="1:4" x14ac:dyDescent="0.3">
      <c r="A132" s="32"/>
      <c r="B132" s="18"/>
      <c r="C132" s="32"/>
      <c r="D132" s="34"/>
    </row>
    <row r="133" spans="1:4" x14ac:dyDescent="0.3">
      <c r="A133" s="32"/>
      <c r="B133" s="18"/>
      <c r="C133" s="32"/>
      <c r="D133" s="34"/>
    </row>
    <row r="134" spans="1:4" x14ac:dyDescent="0.3">
      <c r="A134" s="32"/>
      <c r="B134" s="18"/>
      <c r="C134" s="32"/>
      <c r="D134" s="34"/>
    </row>
    <row r="135" spans="1:4" x14ac:dyDescent="0.3">
      <c r="A135" s="32"/>
      <c r="B135" s="18"/>
      <c r="C135" s="32"/>
      <c r="D135" s="34"/>
    </row>
    <row r="136" spans="1:4" x14ac:dyDescent="0.3">
      <c r="A136" s="32"/>
      <c r="B136" s="18"/>
      <c r="C136" s="32"/>
      <c r="D136" s="34"/>
    </row>
    <row r="137" spans="1:4" x14ac:dyDescent="0.3">
      <c r="A137" s="32"/>
      <c r="B137" s="18"/>
      <c r="C137" s="32"/>
      <c r="D137" s="34"/>
    </row>
    <row r="138" spans="1:4" x14ac:dyDescent="0.3">
      <c r="A138" s="32"/>
      <c r="B138" s="18"/>
      <c r="C138" s="32"/>
      <c r="D138" s="34"/>
    </row>
    <row r="139" spans="1:4" x14ac:dyDescent="0.3">
      <c r="A139" s="32"/>
      <c r="B139" s="18"/>
      <c r="C139" s="32"/>
      <c r="D139" s="34"/>
    </row>
    <row r="140" spans="1:4" x14ac:dyDescent="0.3">
      <c r="A140" s="32"/>
      <c r="B140" s="18"/>
      <c r="C140" s="32"/>
      <c r="D140" s="34"/>
    </row>
    <row r="141" spans="1:4" x14ac:dyDescent="0.3">
      <c r="A141" s="32"/>
      <c r="B141" s="18"/>
      <c r="C141" s="32"/>
      <c r="D141" s="34"/>
    </row>
    <row r="142" spans="1:4" x14ac:dyDescent="0.3">
      <c r="A142" s="32"/>
      <c r="B142" s="18"/>
      <c r="C142" s="32"/>
      <c r="D142" s="34"/>
    </row>
    <row r="143" spans="1:4" x14ac:dyDescent="0.3">
      <c r="A143" s="32"/>
      <c r="B143" s="18"/>
      <c r="C143" s="32"/>
      <c r="D143" s="34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L399"/>
  <sheetViews>
    <sheetView topLeftCell="A4" workbookViewId="0">
      <selection activeCell="D17" sqref="D17"/>
    </sheetView>
  </sheetViews>
  <sheetFormatPr defaultRowHeight="18" x14ac:dyDescent="0.35"/>
  <cols>
    <col min="1" max="1" width="11.109375" style="2" customWidth="1"/>
    <col min="2" max="2" width="11.21875" style="2" bestFit="1" customWidth="1"/>
    <col min="3" max="3" width="12.33203125" style="2" customWidth="1"/>
    <col min="4" max="4" width="11.33203125" style="2" customWidth="1"/>
    <col min="5" max="6" width="8.88671875" style="2"/>
    <col min="7" max="7" width="16.33203125" style="2" customWidth="1"/>
    <col min="8" max="8" width="11.109375" style="2" customWidth="1"/>
    <col min="9" max="9" width="16" style="2" bestFit="1" customWidth="1"/>
    <col min="10" max="10" width="13.33203125" style="2" bestFit="1" customWidth="1"/>
    <col min="11" max="11" width="15.44140625" style="2" customWidth="1"/>
    <col min="12" max="12" width="17.88671875" style="2" customWidth="1"/>
    <col min="13" max="13" width="29.5546875" style="2" customWidth="1"/>
    <col min="14" max="16384" width="8.88671875" style="2"/>
  </cols>
  <sheetData>
    <row r="1" spans="1:12" s="2" customFormat="1" x14ac:dyDescent="0.35">
      <c r="A1" s="39" t="s">
        <v>75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3" customFormat="1" x14ac:dyDescent="0.35">
      <c r="B2" s="3" t="s">
        <v>76</v>
      </c>
    </row>
    <row r="3" spans="1:12" s="2" customFormat="1" ht="70.2" thickBot="1" x14ac:dyDescent="0.4">
      <c r="A3" s="41" t="s">
        <v>77</v>
      </c>
      <c r="I3" s="3" t="s">
        <v>73</v>
      </c>
      <c r="J3" s="3" t="s">
        <v>31</v>
      </c>
      <c r="K3" s="3" t="s">
        <v>30</v>
      </c>
      <c r="L3" s="42" t="s">
        <v>74</v>
      </c>
    </row>
    <row r="4" spans="1:12" s="2" customFormat="1" ht="36" x14ac:dyDescent="0.35">
      <c r="A4" s="43" t="s">
        <v>78</v>
      </c>
      <c r="B4" s="43" t="s">
        <v>79</v>
      </c>
      <c r="E4" s="44" t="s">
        <v>80</v>
      </c>
      <c r="F4" s="45"/>
      <c r="G4" s="46">
        <v>250000</v>
      </c>
      <c r="I4" s="5">
        <v>250000</v>
      </c>
      <c r="J4" s="5">
        <f>$G$6*I4</f>
        <v>1593.75</v>
      </c>
      <c r="K4" s="47">
        <f>$G$7</f>
        <v>-1773.7858123854903</v>
      </c>
      <c r="L4" s="47">
        <f>I4+J4+K4</f>
        <v>249819.9641876145</v>
      </c>
    </row>
    <row r="5" spans="1:12" s="2" customFormat="1" ht="18.600000000000001" thickBot="1" x14ac:dyDescent="0.4">
      <c r="A5" s="48" t="s">
        <v>81</v>
      </c>
      <c r="B5" s="49">
        <v>6.0600000000000001E-2</v>
      </c>
      <c r="E5" s="50" t="s">
        <v>82</v>
      </c>
      <c r="F5" s="51"/>
      <c r="G5" s="52">
        <f>30*12</f>
        <v>360</v>
      </c>
      <c r="I5" s="47">
        <f>L4</f>
        <v>249819.9641876145</v>
      </c>
      <c r="J5" s="5">
        <f>$G$6*I5</f>
        <v>1592.6022716960424</v>
      </c>
      <c r="K5" s="47">
        <f>$G$7</f>
        <v>-1773.7858123854903</v>
      </c>
      <c r="L5" s="47">
        <f>I5+J5+K5</f>
        <v>249638.78064692504</v>
      </c>
    </row>
    <row r="6" spans="1:12" s="2" customFormat="1" ht="18.600000000000001" thickBot="1" x14ac:dyDescent="0.4">
      <c r="A6" s="53" t="s">
        <v>83</v>
      </c>
      <c r="B6" s="54">
        <v>6.2899999999999998E-2</v>
      </c>
      <c r="E6" s="50" t="s">
        <v>84</v>
      </c>
      <c r="F6" s="51"/>
      <c r="G6" s="55">
        <f>0.0765/12</f>
        <v>6.3749999999999996E-3</v>
      </c>
      <c r="I6" s="47">
        <f t="shared" ref="I6:I69" si="0">L5</f>
        <v>249638.78064692504</v>
      </c>
      <c r="J6" s="5">
        <f t="shared" ref="J6:J69" si="1">$G$6*I6</f>
        <v>1591.4472266241471</v>
      </c>
      <c r="K6" s="47">
        <f t="shared" ref="K6:K69" si="2">$G$7</f>
        <v>-1773.7858123854903</v>
      </c>
      <c r="L6" s="47">
        <f t="shared" ref="L6:L69" si="3">I6+J6+K6</f>
        <v>249456.44206116369</v>
      </c>
    </row>
    <row r="7" spans="1:12" s="2" customFormat="1" ht="18.600000000000001" thickBot="1" x14ac:dyDescent="0.4">
      <c r="A7" s="48" t="s">
        <v>85</v>
      </c>
      <c r="B7" s="56">
        <v>6.4600000000000005E-2</v>
      </c>
      <c r="E7" s="57" t="s">
        <v>86</v>
      </c>
      <c r="F7" s="58"/>
      <c r="G7" s="59">
        <f>PMT(G6,G5,G4,0,0)</f>
        <v>-1773.7858123854903</v>
      </c>
      <c r="I7" s="47">
        <f t="shared" si="0"/>
        <v>249456.44206116369</v>
      </c>
      <c r="J7" s="5">
        <f t="shared" si="1"/>
        <v>1590.2848181399183</v>
      </c>
      <c r="K7" s="47">
        <f t="shared" si="2"/>
        <v>-1773.7858123854903</v>
      </c>
      <c r="L7" s="47">
        <f t="shared" si="3"/>
        <v>249272.94106691811</v>
      </c>
    </row>
    <row r="8" spans="1:12" s="2" customFormat="1" ht="18.600000000000001" thickBot="1" x14ac:dyDescent="0.4">
      <c r="A8" s="53" t="s">
        <v>87</v>
      </c>
      <c r="B8" s="54">
        <v>6.6799999999999998E-2</v>
      </c>
      <c r="I8" s="47">
        <f t="shared" si="0"/>
        <v>249272.94106691811</v>
      </c>
      <c r="J8" s="5">
        <f t="shared" si="1"/>
        <v>1589.1149993016029</v>
      </c>
      <c r="K8" s="47">
        <f t="shared" si="2"/>
        <v>-1773.7858123854903</v>
      </c>
      <c r="L8" s="47">
        <f t="shared" si="3"/>
        <v>249088.27025383423</v>
      </c>
    </row>
    <row r="9" spans="1:12" s="2" customFormat="1" ht="18.600000000000001" thickBot="1" x14ac:dyDescent="0.4">
      <c r="A9" s="48" t="s">
        <v>88</v>
      </c>
      <c r="B9" s="56">
        <v>7.1099999999999997E-2</v>
      </c>
      <c r="I9" s="47">
        <f t="shared" si="0"/>
        <v>249088.27025383423</v>
      </c>
      <c r="J9" s="5">
        <f t="shared" si="1"/>
        <v>1587.9377228681931</v>
      </c>
      <c r="K9" s="47">
        <f t="shared" si="2"/>
        <v>-1773.7858123854903</v>
      </c>
      <c r="L9" s="47">
        <f t="shared" si="3"/>
        <v>248902.42216431693</v>
      </c>
    </row>
    <row r="10" spans="1:12" s="2" customFormat="1" ht="18.600000000000001" thickBot="1" x14ac:dyDescent="0.4">
      <c r="A10" s="53" t="s">
        <v>89</v>
      </c>
      <c r="B10" s="54">
        <v>7.6499999999999999E-2</v>
      </c>
      <c r="I10" s="47">
        <f t="shared" si="0"/>
        <v>248902.42216431693</v>
      </c>
      <c r="J10" s="5">
        <f t="shared" si="1"/>
        <v>1586.7529412975202</v>
      </c>
      <c r="K10" s="47">
        <f t="shared" si="2"/>
        <v>-1773.7858123854903</v>
      </c>
      <c r="L10" s="47">
        <f t="shared" si="3"/>
        <v>248715.38929322895</v>
      </c>
    </row>
    <row r="11" spans="1:12" s="2" customFormat="1" x14ac:dyDescent="0.35">
      <c r="I11" s="47">
        <f t="shared" si="0"/>
        <v>248715.38929322895</v>
      </c>
      <c r="J11" s="5">
        <f t="shared" si="1"/>
        <v>1585.5606067443343</v>
      </c>
      <c r="K11" s="47">
        <f t="shared" si="2"/>
        <v>-1773.7858123854903</v>
      </c>
      <c r="L11" s="47">
        <f t="shared" si="3"/>
        <v>248527.16408758779</v>
      </c>
    </row>
    <row r="12" spans="1:12" s="2" customFormat="1" x14ac:dyDescent="0.35">
      <c r="I12" s="47">
        <f t="shared" si="0"/>
        <v>248527.16408758779</v>
      </c>
      <c r="J12" s="5">
        <f t="shared" si="1"/>
        <v>1584.3606710583722</v>
      </c>
      <c r="K12" s="47">
        <f t="shared" si="2"/>
        <v>-1773.7858123854903</v>
      </c>
      <c r="L12" s="47">
        <f t="shared" si="3"/>
        <v>248337.73894626068</v>
      </c>
    </row>
    <row r="13" spans="1:12" s="2" customFormat="1" x14ac:dyDescent="0.35">
      <c r="I13" s="47">
        <f t="shared" si="0"/>
        <v>248337.73894626068</v>
      </c>
      <c r="J13" s="5">
        <f t="shared" si="1"/>
        <v>1583.1530857824118</v>
      </c>
      <c r="K13" s="47">
        <f t="shared" si="2"/>
        <v>-1773.7858123854903</v>
      </c>
      <c r="L13" s="47">
        <f t="shared" si="3"/>
        <v>248147.10621965761</v>
      </c>
    </row>
    <row r="14" spans="1:12" s="2" customFormat="1" x14ac:dyDescent="0.35">
      <c r="I14" s="47">
        <f t="shared" si="0"/>
        <v>248147.10621965761</v>
      </c>
      <c r="J14" s="5">
        <f t="shared" si="1"/>
        <v>1581.9378021503171</v>
      </c>
      <c r="K14" s="47">
        <f t="shared" si="2"/>
        <v>-1773.7858123854903</v>
      </c>
      <c r="L14" s="47">
        <f t="shared" si="3"/>
        <v>247955.25820942243</v>
      </c>
    </row>
    <row r="15" spans="1:12" s="2" customFormat="1" x14ac:dyDescent="0.35">
      <c r="I15" s="47">
        <f t="shared" si="0"/>
        <v>247955.25820942243</v>
      </c>
      <c r="J15" s="5">
        <f t="shared" si="1"/>
        <v>1580.7147710850679</v>
      </c>
      <c r="K15" s="47">
        <f t="shared" si="2"/>
        <v>-1773.7858123854903</v>
      </c>
      <c r="L15" s="47">
        <f t="shared" si="3"/>
        <v>247762.18716812201</v>
      </c>
    </row>
    <row r="16" spans="1:12" s="2" customFormat="1" x14ac:dyDescent="0.35">
      <c r="I16" s="47">
        <f t="shared" si="0"/>
        <v>247762.18716812201</v>
      </c>
      <c r="J16" s="5">
        <f t="shared" si="1"/>
        <v>1579.4839431967778</v>
      </c>
      <c r="K16" s="47">
        <f t="shared" si="2"/>
        <v>-1773.7858123854903</v>
      </c>
      <c r="L16" s="47">
        <f t="shared" si="3"/>
        <v>247567.88529893328</v>
      </c>
    </row>
    <row r="17" spans="9:12" s="2" customFormat="1" x14ac:dyDescent="0.35">
      <c r="I17" s="47">
        <f t="shared" si="0"/>
        <v>247567.88529893328</v>
      </c>
      <c r="J17" s="5">
        <f t="shared" si="1"/>
        <v>1578.2452687806995</v>
      </c>
      <c r="K17" s="47">
        <f t="shared" si="2"/>
        <v>-1773.7858123854903</v>
      </c>
      <c r="L17" s="47">
        <f t="shared" si="3"/>
        <v>247372.34475532849</v>
      </c>
    </row>
    <row r="18" spans="9:12" s="2" customFormat="1" x14ac:dyDescent="0.35">
      <c r="I18" s="47">
        <f t="shared" si="0"/>
        <v>247372.34475532849</v>
      </c>
      <c r="J18" s="5">
        <f t="shared" si="1"/>
        <v>1576.998697815219</v>
      </c>
      <c r="K18" s="47">
        <f t="shared" si="2"/>
        <v>-1773.7858123854903</v>
      </c>
      <c r="L18" s="47">
        <f t="shared" si="3"/>
        <v>247175.55764075823</v>
      </c>
    </row>
    <row r="19" spans="9:12" s="2" customFormat="1" x14ac:dyDescent="0.35">
      <c r="I19" s="47">
        <f t="shared" si="0"/>
        <v>247175.55764075823</v>
      </c>
      <c r="J19" s="5">
        <f t="shared" si="1"/>
        <v>1575.7441799598337</v>
      </c>
      <c r="K19" s="47">
        <f t="shared" si="2"/>
        <v>-1773.7858123854903</v>
      </c>
      <c r="L19" s="47">
        <f t="shared" si="3"/>
        <v>246977.51600833258</v>
      </c>
    </row>
    <row r="20" spans="9:12" s="2" customFormat="1" x14ac:dyDescent="0.35">
      <c r="I20" s="47">
        <f t="shared" si="0"/>
        <v>246977.51600833258</v>
      </c>
      <c r="J20" s="5">
        <f t="shared" si="1"/>
        <v>1574.48166455312</v>
      </c>
      <c r="K20" s="47">
        <f t="shared" si="2"/>
        <v>-1773.7858123854903</v>
      </c>
      <c r="L20" s="47">
        <f t="shared" si="3"/>
        <v>246778.21186050019</v>
      </c>
    </row>
    <row r="21" spans="9:12" s="2" customFormat="1" x14ac:dyDescent="0.35">
      <c r="I21" s="47">
        <f t="shared" si="0"/>
        <v>246778.21186050019</v>
      </c>
      <c r="J21" s="5">
        <f t="shared" si="1"/>
        <v>1573.2111006106886</v>
      </c>
      <c r="K21" s="47">
        <f t="shared" si="2"/>
        <v>-1773.7858123854903</v>
      </c>
      <c r="L21" s="47">
        <f t="shared" si="3"/>
        <v>246577.63714872539</v>
      </c>
    </row>
    <row r="22" spans="9:12" s="2" customFormat="1" x14ac:dyDescent="0.35">
      <c r="I22" s="47">
        <f t="shared" si="0"/>
        <v>246577.63714872539</v>
      </c>
      <c r="J22" s="5">
        <f t="shared" si="1"/>
        <v>1571.9324368231244</v>
      </c>
      <c r="K22" s="47">
        <f t="shared" si="2"/>
        <v>-1773.7858123854903</v>
      </c>
      <c r="L22" s="47">
        <f t="shared" si="3"/>
        <v>246375.78377316301</v>
      </c>
    </row>
    <row r="23" spans="9:12" s="2" customFormat="1" x14ac:dyDescent="0.35">
      <c r="I23" s="47">
        <f t="shared" si="0"/>
        <v>246375.78377316301</v>
      </c>
      <c r="J23" s="5">
        <f t="shared" si="1"/>
        <v>1570.645621553914</v>
      </c>
      <c r="K23" s="47">
        <f t="shared" si="2"/>
        <v>-1773.7858123854903</v>
      </c>
      <c r="L23" s="47">
        <f t="shared" si="3"/>
        <v>246172.64358233142</v>
      </c>
    </row>
    <row r="24" spans="9:12" s="2" customFormat="1" x14ac:dyDescent="0.35">
      <c r="I24" s="47">
        <f t="shared" si="0"/>
        <v>246172.64358233142</v>
      </c>
      <c r="J24" s="5">
        <f t="shared" si="1"/>
        <v>1569.3506028373627</v>
      </c>
      <c r="K24" s="47">
        <f t="shared" si="2"/>
        <v>-1773.7858123854903</v>
      </c>
      <c r="L24" s="47">
        <f t="shared" si="3"/>
        <v>245968.20837278329</v>
      </c>
    </row>
    <row r="25" spans="9:12" s="2" customFormat="1" x14ac:dyDescent="0.35">
      <c r="I25" s="47">
        <f t="shared" si="0"/>
        <v>245968.20837278329</v>
      </c>
      <c r="J25" s="5">
        <f t="shared" si="1"/>
        <v>1568.0473283764934</v>
      </c>
      <c r="K25" s="47">
        <f t="shared" si="2"/>
        <v>-1773.7858123854903</v>
      </c>
      <c r="L25" s="47">
        <f t="shared" si="3"/>
        <v>245762.4698887743</v>
      </c>
    </row>
    <row r="26" spans="9:12" s="2" customFormat="1" x14ac:dyDescent="0.35">
      <c r="I26" s="47">
        <f t="shared" si="0"/>
        <v>245762.4698887743</v>
      </c>
      <c r="J26" s="5">
        <f t="shared" si="1"/>
        <v>1566.735745540936</v>
      </c>
      <c r="K26" s="47">
        <f t="shared" si="2"/>
        <v>-1773.7858123854903</v>
      </c>
      <c r="L26" s="47">
        <f t="shared" si="3"/>
        <v>245555.41982192974</v>
      </c>
    </row>
    <row r="27" spans="9:12" s="2" customFormat="1" x14ac:dyDescent="0.35">
      <c r="I27" s="47">
        <f t="shared" si="0"/>
        <v>245555.41982192974</v>
      </c>
      <c r="J27" s="5">
        <f t="shared" si="1"/>
        <v>1565.4158013648021</v>
      </c>
      <c r="K27" s="47">
        <f t="shared" si="2"/>
        <v>-1773.7858123854903</v>
      </c>
      <c r="L27" s="47">
        <f t="shared" si="3"/>
        <v>245347.04981090905</v>
      </c>
    </row>
    <row r="28" spans="9:12" s="2" customFormat="1" x14ac:dyDescent="0.35">
      <c r="I28" s="47">
        <f t="shared" si="0"/>
        <v>245347.04981090905</v>
      </c>
      <c r="J28" s="5">
        <f t="shared" si="1"/>
        <v>1564.0874425445452</v>
      </c>
      <c r="K28" s="47">
        <f t="shared" si="2"/>
        <v>-1773.7858123854903</v>
      </c>
      <c r="L28" s="47">
        <f t="shared" si="3"/>
        <v>245137.35144106811</v>
      </c>
    </row>
    <row r="29" spans="9:12" s="2" customFormat="1" x14ac:dyDescent="0.35">
      <c r="I29" s="47">
        <f t="shared" si="0"/>
        <v>245137.35144106811</v>
      </c>
      <c r="J29" s="5">
        <f t="shared" si="1"/>
        <v>1562.7506154368091</v>
      </c>
      <c r="K29" s="47">
        <f t="shared" si="2"/>
        <v>-1773.7858123854903</v>
      </c>
      <c r="L29" s="47">
        <f t="shared" si="3"/>
        <v>244926.31624411943</v>
      </c>
    </row>
    <row r="30" spans="9:12" s="2" customFormat="1" x14ac:dyDescent="0.35">
      <c r="I30" s="47">
        <f t="shared" si="0"/>
        <v>244926.31624411943</v>
      </c>
      <c r="J30" s="5">
        <f t="shared" si="1"/>
        <v>1561.4052660562613</v>
      </c>
      <c r="K30" s="47">
        <f t="shared" si="2"/>
        <v>-1773.7858123854903</v>
      </c>
      <c r="L30" s="47">
        <f t="shared" si="3"/>
        <v>244713.93569779021</v>
      </c>
    </row>
    <row r="31" spans="9:12" s="2" customFormat="1" x14ac:dyDescent="0.35">
      <c r="I31" s="47">
        <f t="shared" si="0"/>
        <v>244713.93569779021</v>
      </c>
      <c r="J31" s="5">
        <f t="shared" si="1"/>
        <v>1560.0513400734126</v>
      </c>
      <c r="K31" s="47">
        <f t="shared" si="2"/>
        <v>-1773.7858123854903</v>
      </c>
      <c r="L31" s="47">
        <f t="shared" si="3"/>
        <v>244500.20122547811</v>
      </c>
    </row>
    <row r="32" spans="9:12" s="2" customFormat="1" x14ac:dyDescent="0.35">
      <c r="I32" s="47">
        <f t="shared" si="0"/>
        <v>244500.20122547811</v>
      </c>
      <c r="J32" s="5">
        <f t="shared" si="1"/>
        <v>1558.6887828124229</v>
      </c>
      <c r="K32" s="47">
        <f t="shared" si="2"/>
        <v>-1773.7858123854903</v>
      </c>
      <c r="L32" s="47">
        <f t="shared" si="3"/>
        <v>244285.10419590503</v>
      </c>
    </row>
    <row r="33" spans="9:12" s="2" customFormat="1" x14ac:dyDescent="0.35">
      <c r="I33" s="47">
        <f t="shared" si="0"/>
        <v>244285.10419590503</v>
      </c>
      <c r="J33" s="5">
        <f t="shared" si="1"/>
        <v>1557.3175392488945</v>
      </c>
      <c r="K33" s="47">
        <f t="shared" si="2"/>
        <v>-1773.7858123854903</v>
      </c>
      <c r="L33" s="47">
        <f t="shared" si="3"/>
        <v>244068.63592276844</v>
      </c>
    </row>
    <row r="34" spans="9:12" s="2" customFormat="1" x14ac:dyDescent="0.35">
      <c r="I34" s="47">
        <f t="shared" si="0"/>
        <v>244068.63592276844</v>
      </c>
      <c r="J34" s="5">
        <f t="shared" si="1"/>
        <v>1555.9375540076487</v>
      </c>
      <c r="K34" s="47">
        <f t="shared" si="2"/>
        <v>-1773.7858123854903</v>
      </c>
      <c r="L34" s="47">
        <f t="shared" si="3"/>
        <v>243850.78766439061</v>
      </c>
    </row>
    <row r="35" spans="9:12" s="2" customFormat="1" x14ac:dyDescent="0.35">
      <c r="I35" s="47">
        <f t="shared" si="0"/>
        <v>243850.78766439061</v>
      </c>
      <c r="J35" s="5">
        <f t="shared" si="1"/>
        <v>1554.54877136049</v>
      </c>
      <c r="K35" s="47">
        <f t="shared" si="2"/>
        <v>-1773.7858123854903</v>
      </c>
      <c r="L35" s="47">
        <f t="shared" si="3"/>
        <v>243631.55062336559</v>
      </c>
    </row>
    <row r="36" spans="9:12" s="2" customFormat="1" x14ac:dyDescent="0.35">
      <c r="I36" s="47">
        <f t="shared" si="0"/>
        <v>243631.55062336559</v>
      </c>
      <c r="J36" s="5">
        <f t="shared" si="1"/>
        <v>1553.1511352239556</v>
      </c>
      <c r="K36" s="47">
        <f t="shared" si="2"/>
        <v>-1773.7858123854903</v>
      </c>
      <c r="L36" s="47">
        <f t="shared" si="3"/>
        <v>243410.91594620404</v>
      </c>
    </row>
    <row r="37" spans="9:12" s="2" customFormat="1" x14ac:dyDescent="0.35">
      <c r="I37" s="47">
        <f t="shared" si="0"/>
        <v>243410.91594620404</v>
      </c>
      <c r="J37" s="5">
        <f t="shared" si="1"/>
        <v>1551.7445891570508</v>
      </c>
      <c r="K37" s="47">
        <f t="shared" si="2"/>
        <v>-1773.7858123854903</v>
      </c>
      <c r="L37" s="47">
        <f t="shared" si="3"/>
        <v>243188.8747229756</v>
      </c>
    </row>
    <row r="38" spans="9:12" s="2" customFormat="1" x14ac:dyDescent="0.35">
      <c r="I38" s="47">
        <f t="shared" si="0"/>
        <v>243188.8747229756</v>
      </c>
      <c r="J38" s="5">
        <f t="shared" si="1"/>
        <v>1550.3290763589694</v>
      </c>
      <c r="K38" s="47">
        <f t="shared" si="2"/>
        <v>-1773.7858123854903</v>
      </c>
      <c r="L38" s="47">
        <f t="shared" si="3"/>
        <v>242965.41798694906</v>
      </c>
    </row>
    <row r="39" spans="9:12" s="2" customFormat="1" x14ac:dyDescent="0.35">
      <c r="I39" s="47">
        <f t="shared" si="0"/>
        <v>242965.41798694906</v>
      </c>
      <c r="J39" s="5">
        <f t="shared" si="1"/>
        <v>1548.9045396668002</v>
      </c>
      <c r="K39" s="47">
        <f t="shared" si="2"/>
        <v>-1773.7858123854903</v>
      </c>
      <c r="L39" s="47">
        <f t="shared" si="3"/>
        <v>242740.53671423037</v>
      </c>
    </row>
    <row r="40" spans="9:12" s="2" customFormat="1" x14ac:dyDescent="0.35">
      <c r="I40" s="47">
        <f t="shared" si="0"/>
        <v>242740.53671423037</v>
      </c>
      <c r="J40" s="5">
        <f t="shared" si="1"/>
        <v>1547.4709215532184</v>
      </c>
      <c r="K40" s="47">
        <f t="shared" si="2"/>
        <v>-1773.7858123854903</v>
      </c>
      <c r="L40" s="47">
        <f t="shared" si="3"/>
        <v>242514.22182339808</v>
      </c>
    </row>
    <row r="41" spans="9:12" s="2" customFormat="1" x14ac:dyDescent="0.35">
      <c r="I41" s="47">
        <f t="shared" si="0"/>
        <v>242514.22182339808</v>
      </c>
      <c r="J41" s="5">
        <f t="shared" si="1"/>
        <v>1546.0281641241627</v>
      </c>
      <c r="K41" s="47">
        <f t="shared" si="2"/>
        <v>-1773.7858123854903</v>
      </c>
      <c r="L41" s="47">
        <f t="shared" si="3"/>
        <v>242286.46417513676</v>
      </c>
    </row>
    <row r="42" spans="9:12" s="2" customFormat="1" x14ac:dyDescent="0.35">
      <c r="I42" s="47">
        <f t="shared" si="0"/>
        <v>242286.46417513676</v>
      </c>
      <c r="J42" s="5">
        <f t="shared" si="1"/>
        <v>1544.5762091164968</v>
      </c>
      <c r="K42" s="47">
        <f t="shared" si="2"/>
        <v>-1773.7858123854903</v>
      </c>
      <c r="L42" s="47">
        <f t="shared" si="3"/>
        <v>242057.25457186776</v>
      </c>
    </row>
    <row r="43" spans="9:12" s="2" customFormat="1" x14ac:dyDescent="0.35">
      <c r="I43" s="47">
        <f t="shared" si="0"/>
        <v>242057.25457186776</v>
      </c>
      <c r="J43" s="5">
        <f t="shared" si="1"/>
        <v>1543.1149978956569</v>
      </c>
      <c r="K43" s="47">
        <f t="shared" si="2"/>
        <v>-1773.7858123854903</v>
      </c>
      <c r="L43" s="47">
        <f t="shared" si="3"/>
        <v>241826.58375737793</v>
      </c>
    </row>
    <row r="44" spans="9:12" s="2" customFormat="1" x14ac:dyDescent="0.35">
      <c r="I44" s="47">
        <f t="shared" si="0"/>
        <v>241826.58375737793</v>
      </c>
      <c r="J44" s="5">
        <f t="shared" si="1"/>
        <v>1541.6444714532843</v>
      </c>
      <c r="K44" s="47">
        <f t="shared" si="2"/>
        <v>-1773.7858123854903</v>
      </c>
      <c r="L44" s="47">
        <f t="shared" si="3"/>
        <v>241594.4424164457</v>
      </c>
    </row>
    <row r="45" spans="9:12" s="2" customFormat="1" x14ac:dyDescent="0.35">
      <c r="I45" s="47">
        <f t="shared" si="0"/>
        <v>241594.4424164457</v>
      </c>
      <c r="J45" s="5">
        <f t="shared" si="1"/>
        <v>1540.1645704048412</v>
      </c>
      <c r="K45" s="47">
        <f t="shared" si="2"/>
        <v>-1773.7858123854903</v>
      </c>
      <c r="L45" s="47">
        <f t="shared" si="3"/>
        <v>241360.82117446503</v>
      </c>
    </row>
    <row r="46" spans="9:12" s="2" customFormat="1" x14ac:dyDescent="0.35">
      <c r="I46" s="47">
        <f t="shared" si="0"/>
        <v>241360.82117446503</v>
      </c>
      <c r="J46" s="5">
        <f t="shared" si="1"/>
        <v>1538.6752349872145</v>
      </c>
      <c r="K46" s="47">
        <f t="shared" si="2"/>
        <v>-1773.7858123854903</v>
      </c>
      <c r="L46" s="47">
        <f t="shared" si="3"/>
        <v>241125.71059706676</v>
      </c>
    </row>
    <row r="47" spans="9:12" s="2" customFormat="1" x14ac:dyDescent="0.35">
      <c r="I47" s="47">
        <f t="shared" si="0"/>
        <v>241125.71059706676</v>
      </c>
      <c r="J47" s="5">
        <f t="shared" si="1"/>
        <v>1537.1764050563006</v>
      </c>
      <c r="K47" s="47">
        <f t="shared" si="2"/>
        <v>-1773.7858123854903</v>
      </c>
      <c r="L47" s="47">
        <f t="shared" si="3"/>
        <v>240889.10118973756</v>
      </c>
    </row>
    <row r="48" spans="9:12" s="2" customFormat="1" x14ac:dyDescent="0.35">
      <c r="I48" s="47">
        <f t="shared" si="0"/>
        <v>240889.10118973756</v>
      </c>
      <c r="J48" s="5">
        <f t="shared" si="1"/>
        <v>1535.6680200845769</v>
      </c>
      <c r="K48" s="47">
        <f t="shared" si="2"/>
        <v>-1773.7858123854903</v>
      </c>
      <c r="L48" s="47">
        <f t="shared" si="3"/>
        <v>240650.98339743665</v>
      </c>
    </row>
    <row r="49" spans="9:12" s="2" customFormat="1" x14ac:dyDescent="0.35">
      <c r="I49" s="47">
        <f t="shared" si="0"/>
        <v>240650.98339743665</v>
      </c>
      <c r="J49" s="5">
        <f t="shared" si="1"/>
        <v>1534.1500191586586</v>
      </c>
      <c r="K49" s="47">
        <f t="shared" si="2"/>
        <v>-1773.7858123854903</v>
      </c>
      <c r="L49" s="47">
        <f t="shared" si="3"/>
        <v>240411.34760420982</v>
      </c>
    </row>
    <row r="50" spans="9:12" s="2" customFormat="1" x14ac:dyDescent="0.35">
      <c r="I50" s="47">
        <f t="shared" si="0"/>
        <v>240411.34760420982</v>
      </c>
      <c r="J50" s="5">
        <f t="shared" si="1"/>
        <v>1532.6223409768374</v>
      </c>
      <c r="K50" s="47">
        <f t="shared" si="2"/>
        <v>-1773.7858123854903</v>
      </c>
      <c r="L50" s="47">
        <f t="shared" si="3"/>
        <v>240170.18413280117</v>
      </c>
    </row>
    <row r="51" spans="9:12" s="2" customFormat="1" x14ac:dyDescent="0.35">
      <c r="I51" s="47">
        <f t="shared" si="0"/>
        <v>240170.18413280117</v>
      </c>
      <c r="J51" s="5">
        <f t="shared" si="1"/>
        <v>1531.0849238466074</v>
      </c>
      <c r="K51" s="47">
        <f t="shared" si="2"/>
        <v>-1773.7858123854903</v>
      </c>
      <c r="L51" s="47">
        <f t="shared" si="3"/>
        <v>239927.48324426229</v>
      </c>
    </row>
    <row r="52" spans="9:12" s="2" customFormat="1" x14ac:dyDescent="0.35">
      <c r="I52" s="47">
        <f t="shared" si="0"/>
        <v>239927.48324426229</v>
      </c>
      <c r="J52" s="5">
        <f t="shared" si="1"/>
        <v>1529.5377056821719</v>
      </c>
      <c r="K52" s="47">
        <f t="shared" si="2"/>
        <v>-1773.7858123854903</v>
      </c>
      <c r="L52" s="47">
        <f t="shared" si="3"/>
        <v>239683.23513755895</v>
      </c>
    </row>
    <row r="53" spans="9:12" s="2" customFormat="1" x14ac:dyDescent="0.35">
      <c r="I53" s="47">
        <f t="shared" si="0"/>
        <v>239683.23513755895</v>
      </c>
      <c r="J53" s="5">
        <f t="shared" si="1"/>
        <v>1527.9806240019382</v>
      </c>
      <c r="K53" s="47">
        <f t="shared" si="2"/>
        <v>-1773.7858123854903</v>
      </c>
      <c r="L53" s="47">
        <f t="shared" si="3"/>
        <v>239437.42994917539</v>
      </c>
    </row>
    <row r="54" spans="9:12" s="2" customFormat="1" x14ac:dyDescent="0.35">
      <c r="I54" s="47">
        <f t="shared" si="0"/>
        <v>239437.42994917539</v>
      </c>
      <c r="J54" s="5">
        <f t="shared" si="1"/>
        <v>1526.4136159259931</v>
      </c>
      <c r="K54" s="47">
        <f t="shared" si="2"/>
        <v>-1773.7858123854903</v>
      </c>
      <c r="L54" s="47">
        <f t="shared" si="3"/>
        <v>239190.05775271589</v>
      </c>
    </row>
    <row r="55" spans="9:12" s="2" customFormat="1" x14ac:dyDescent="0.35">
      <c r="I55" s="47">
        <f t="shared" si="0"/>
        <v>239190.05775271589</v>
      </c>
      <c r="J55" s="5">
        <f t="shared" si="1"/>
        <v>1524.8366181735637</v>
      </c>
      <c r="K55" s="47">
        <f t="shared" si="2"/>
        <v>-1773.7858123854903</v>
      </c>
      <c r="L55" s="47">
        <f t="shared" si="3"/>
        <v>238941.10855850397</v>
      </c>
    </row>
    <row r="56" spans="9:12" s="2" customFormat="1" x14ac:dyDescent="0.35">
      <c r="I56" s="47">
        <f t="shared" si="0"/>
        <v>238941.10855850397</v>
      </c>
      <c r="J56" s="5">
        <f t="shared" si="1"/>
        <v>1523.2495670604626</v>
      </c>
      <c r="K56" s="47">
        <f t="shared" si="2"/>
        <v>-1773.7858123854903</v>
      </c>
      <c r="L56" s="47">
        <f t="shared" si="3"/>
        <v>238690.57231317894</v>
      </c>
    </row>
    <row r="57" spans="9:12" s="2" customFormat="1" x14ac:dyDescent="0.35">
      <c r="I57" s="47">
        <f t="shared" si="0"/>
        <v>238690.57231317894</v>
      </c>
      <c r="J57" s="5">
        <f t="shared" si="1"/>
        <v>1521.6523984965156</v>
      </c>
      <c r="K57" s="47">
        <f t="shared" si="2"/>
        <v>-1773.7858123854903</v>
      </c>
      <c r="L57" s="47">
        <f t="shared" si="3"/>
        <v>238438.43889928996</v>
      </c>
    </row>
    <row r="58" spans="9:12" s="2" customFormat="1" x14ac:dyDescent="0.35">
      <c r="I58" s="47">
        <f t="shared" si="0"/>
        <v>238438.43889928996</v>
      </c>
      <c r="J58" s="5">
        <f t="shared" si="1"/>
        <v>1520.0450479829733</v>
      </c>
      <c r="K58" s="47">
        <f t="shared" si="2"/>
        <v>-1773.7858123854903</v>
      </c>
      <c r="L58" s="47">
        <f t="shared" si="3"/>
        <v>238184.69813488744</v>
      </c>
    </row>
    <row r="59" spans="9:12" s="2" customFormat="1" x14ac:dyDescent="0.35">
      <c r="I59" s="47">
        <f t="shared" si="0"/>
        <v>238184.69813488744</v>
      </c>
      <c r="J59" s="5">
        <f t="shared" si="1"/>
        <v>1518.4274506099073</v>
      </c>
      <c r="K59" s="47">
        <f t="shared" si="2"/>
        <v>-1773.7858123854903</v>
      </c>
      <c r="L59" s="47">
        <f t="shared" si="3"/>
        <v>237929.33977311186</v>
      </c>
    </row>
    <row r="60" spans="9:12" s="2" customFormat="1" x14ac:dyDescent="0.35">
      <c r="I60" s="47">
        <f t="shared" si="0"/>
        <v>237929.33977311186</v>
      </c>
      <c r="J60" s="5">
        <f t="shared" si="1"/>
        <v>1516.799541053588</v>
      </c>
      <c r="K60" s="47">
        <f t="shared" si="2"/>
        <v>-1773.7858123854903</v>
      </c>
      <c r="L60" s="47">
        <f t="shared" si="3"/>
        <v>237672.35350177996</v>
      </c>
    </row>
    <row r="61" spans="9:12" s="2" customFormat="1" x14ac:dyDescent="0.35">
      <c r="I61" s="47">
        <f t="shared" si="0"/>
        <v>237672.35350177996</v>
      </c>
      <c r="J61" s="5">
        <f t="shared" si="1"/>
        <v>1515.161253573847</v>
      </c>
      <c r="K61" s="47">
        <f t="shared" si="2"/>
        <v>-1773.7858123854903</v>
      </c>
      <c r="L61" s="47">
        <f t="shared" si="3"/>
        <v>237413.7289429683</v>
      </c>
    </row>
    <row r="62" spans="9:12" s="2" customFormat="1" x14ac:dyDescent="0.35">
      <c r="I62" s="47">
        <f t="shared" si="0"/>
        <v>237413.7289429683</v>
      </c>
      <c r="J62" s="5">
        <f t="shared" si="1"/>
        <v>1513.5125220114228</v>
      </c>
      <c r="K62" s="47">
        <f t="shared" si="2"/>
        <v>-1773.7858123854903</v>
      </c>
      <c r="L62" s="47">
        <f t="shared" si="3"/>
        <v>237153.45565259422</v>
      </c>
    </row>
    <row r="63" spans="9:12" s="2" customFormat="1" x14ac:dyDescent="0.35">
      <c r="I63" s="47">
        <f t="shared" si="0"/>
        <v>237153.45565259422</v>
      </c>
      <c r="J63" s="5">
        <f t="shared" si="1"/>
        <v>1511.8532797852881</v>
      </c>
      <c r="K63" s="47">
        <f t="shared" si="2"/>
        <v>-1773.7858123854903</v>
      </c>
      <c r="L63" s="47">
        <f t="shared" si="3"/>
        <v>236891.523119994</v>
      </c>
    </row>
    <row r="64" spans="9:12" s="2" customFormat="1" x14ac:dyDescent="0.35">
      <c r="I64" s="47">
        <f t="shared" si="0"/>
        <v>236891.523119994</v>
      </c>
      <c r="J64" s="5">
        <f t="shared" si="1"/>
        <v>1510.1834598899616</v>
      </c>
      <c r="K64" s="47">
        <f t="shared" si="2"/>
        <v>-1773.7858123854903</v>
      </c>
      <c r="L64" s="47">
        <f t="shared" si="3"/>
        <v>236627.92076749846</v>
      </c>
    </row>
    <row r="65" spans="9:12" s="2" customFormat="1" x14ac:dyDescent="0.35">
      <c r="I65" s="47">
        <f t="shared" si="0"/>
        <v>236627.92076749846</v>
      </c>
      <c r="J65" s="5">
        <f t="shared" si="1"/>
        <v>1508.5029948928027</v>
      </c>
      <c r="K65" s="47">
        <f t="shared" si="2"/>
        <v>-1773.7858123854903</v>
      </c>
      <c r="L65" s="47">
        <f t="shared" si="3"/>
        <v>236362.63795000577</v>
      </c>
    </row>
    <row r="66" spans="9:12" s="2" customFormat="1" x14ac:dyDescent="0.35">
      <c r="I66" s="47">
        <f t="shared" si="0"/>
        <v>236362.63795000577</v>
      </c>
      <c r="J66" s="5">
        <f t="shared" si="1"/>
        <v>1506.8118169312866</v>
      </c>
      <c r="K66" s="47">
        <f t="shared" si="2"/>
        <v>-1773.7858123854903</v>
      </c>
      <c r="L66" s="47">
        <f t="shared" si="3"/>
        <v>236095.66395455156</v>
      </c>
    </row>
    <row r="67" spans="9:12" s="2" customFormat="1" x14ac:dyDescent="0.35">
      <c r="I67" s="47">
        <f t="shared" si="0"/>
        <v>236095.66395455156</v>
      </c>
      <c r="J67" s="5">
        <f t="shared" si="1"/>
        <v>1505.1098577102662</v>
      </c>
      <c r="K67" s="47">
        <f t="shared" si="2"/>
        <v>-1773.7858123854903</v>
      </c>
      <c r="L67" s="47">
        <f t="shared" si="3"/>
        <v>235826.98799987632</v>
      </c>
    </row>
    <row r="68" spans="9:12" s="2" customFormat="1" x14ac:dyDescent="0.35">
      <c r="I68" s="47">
        <f t="shared" si="0"/>
        <v>235826.98799987632</v>
      </c>
      <c r="J68" s="5">
        <f t="shared" si="1"/>
        <v>1503.3970484992115</v>
      </c>
      <c r="K68" s="47">
        <f t="shared" si="2"/>
        <v>-1773.7858123854903</v>
      </c>
      <c r="L68" s="47">
        <f t="shared" si="3"/>
        <v>235556.59923599003</v>
      </c>
    </row>
    <row r="69" spans="9:12" s="2" customFormat="1" x14ac:dyDescent="0.35">
      <c r="I69" s="47">
        <f t="shared" si="0"/>
        <v>235556.59923599003</v>
      </c>
      <c r="J69" s="5">
        <f t="shared" si="1"/>
        <v>1501.6733201294364</v>
      </c>
      <c r="K69" s="47">
        <f t="shared" si="2"/>
        <v>-1773.7858123854903</v>
      </c>
      <c r="L69" s="47">
        <f t="shared" si="3"/>
        <v>235284.48674373396</v>
      </c>
    </row>
    <row r="70" spans="9:12" s="2" customFormat="1" x14ac:dyDescent="0.35">
      <c r="I70" s="47">
        <f t="shared" ref="I70:I133" si="4">L69</f>
        <v>235284.48674373396</v>
      </c>
      <c r="J70" s="5">
        <f t="shared" ref="J70:J133" si="5">$G$6*I70</f>
        <v>1499.9386029913039</v>
      </c>
      <c r="K70" s="47">
        <f t="shared" ref="K70:K133" si="6">$G$7</f>
        <v>-1773.7858123854903</v>
      </c>
      <c r="L70" s="47">
        <f t="shared" ref="L70:L133" si="7">I70+J70+K70</f>
        <v>235010.63953433977</v>
      </c>
    </row>
    <row r="71" spans="9:12" s="2" customFormat="1" x14ac:dyDescent="0.35">
      <c r="I71" s="47">
        <f t="shared" si="4"/>
        <v>235010.63953433977</v>
      </c>
      <c r="J71" s="5">
        <f t="shared" si="5"/>
        <v>1498.1928270314161</v>
      </c>
      <c r="K71" s="47">
        <f t="shared" si="6"/>
        <v>-1773.7858123854903</v>
      </c>
      <c r="L71" s="47">
        <f t="shared" si="7"/>
        <v>234735.0465489857</v>
      </c>
    </row>
    <row r="72" spans="9:12" s="2" customFormat="1" x14ac:dyDescent="0.35">
      <c r="I72" s="47">
        <f t="shared" si="4"/>
        <v>234735.0465489857</v>
      </c>
      <c r="J72" s="5">
        <f t="shared" si="5"/>
        <v>1496.4359217497838</v>
      </c>
      <c r="K72" s="47">
        <f t="shared" si="6"/>
        <v>-1773.7858123854903</v>
      </c>
      <c r="L72" s="47">
        <f t="shared" si="7"/>
        <v>234457.69665834997</v>
      </c>
    </row>
    <row r="73" spans="9:12" s="2" customFormat="1" x14ac:dyDescent="0.35">
      <c r="I73" s="47">
        <f t="shared" si="4"/>
        <v>234457.69665834997</v>
      </c>
      <c r="J73" s="5">
        <f t="shared" si="5"/>
        <v>1494.667816196981</v>
      </c>
      <c r="K73" s="47">
        <f t="shared" si="6"/>
        <v>-1773.7858123854903</v>
      </c>
      <c r="L73" s="47">
        <f t="shared" si="7"/>
        <v>234178.57866216145</v>
      </c>
    </row>
    <row r="74" spans="9:12" s="2" customFormat="1" x14ac:dyDescent="0.35">
      <c r="I74" s="47">
        <f t="shared" si="4"/>
        <v>234178.57866216145</v>
      </c>
      <c r="J74" s="5">
        <f t="shared" si="5"/>
        <v>1492.8884389712791</v>
      </c>
      <c r="K74" s="47">
        <f t="shared" si="6"/>
        <v>-1773.7858123854903</v>
      </c>
      <c r="L74" s="47">
        <f t="shared" si="7"/>
        <v>233897.68128874723</v>
      </c>
    </row>
    <row r="75" spans="9:12" s="2" customFormat="1" x14ac:dyDescent="0.35">
      <c r="I75" s="47">
        <f t="shared" si="4"/>
        <v>233897.68128874723</v>
      </c>
      <c r="J75" s="5">
        <f t="shared" si="5"/>
        <v>1491.0977182157635</v>
      </c>
      <c r="K75" s="47">
        <f t="shared" si="6"/>
        <v>-1773.7858123854903</v>
      </c>
      <c r="L75" s="47">
        <f t="shared" si="7"/>
        <v>233614.99319457749</v>
      </c>
    </row>
    <row r="76" spans="9:12" s="2" customFormat="1" x14ac:dyDescent="0.35">
      <c r="I76" s="47">
        <f t="shared" si="4"/>
        <v>233614.99319457749</v>
      </c>
      <c r="J76" s="5">
        <f t="shared" si="5"/>
        <v>1489.2955816154315</v>
      </c>
      <c r="K76" s="47">
        <f t="shared" si="6"/>
        <v>-1773.7858123854903</v>
      </c>
      <c r="L76" s="47">
        <f t="shared" si="7"/>
        <v>233330.50296380743</v>
      </c>
    </row>
    <row r="77" spans="9:12" s="2" customFormat="1" x14ac:dyDescent="0.35">
      <c r="I77" s="47">
        <f t="shared" si="4"/>
        <v>233330.50296380743</v>
      </c>
      <c r="J77" s="5">
        <f t="shared" si="5"/>
        <v>1487.4819563942724</v>
      </c>
      <c r="K77" s="47">
        <f t="shared" si="6"/>
        <v>-1773.7858123854903</v>
      </c>
      <c r="L77" s="47">
        <f t="shared" si="7"/>
        <v>233044.19910781621</v>
      </c>
    </row>
    <row r="78" spans="9:12" s="2" customFormat="1" x14ac:dyDescent="0.35">
      <c r="I78" s="47">
        <f t="shared" si="4"/>
        <v>233044.19910781621</v>
      </c>
      <c r="J78" s="5">
        <f t="shared" si="5"/>
        <v>1485.6567693123282</v>
      </c>
      <c r="K78" s="47">
        <f t="shared" si="6"/>
        <v>-1773.7858123854903</v>
      </c>
      <c r="L78" s="47">
        <f t="shared" si="7"/>
        <v>232756.07006474305</v>
      </c>
    </row>
    <row r="79" spans="9:12" s="2" customFormat="1" x14ac:dyDescent="0.35">
      <c r="I79" s="47">
        <f t="shared" si="4"/>
        <v>232756.07006474305</v>
      </c>
      <c r="J79" s="5">
        <f t="shared" si="5"/>
        <v>1483.8199466627368</v>
      </c>
      <c r="K79" s="47">
        <f t="shared" si="6"/>
        <v>-1773.7858123854903</v>
      </c>
      <c r="L79" s="47">
        <f t="shared" si="7"/>
        <v>232466.10419902028</v>
      </c>
    </row>
    <row r="80" spans="9:12" s="2" customFormat="1" x14ac:dyDescent="0.35">
      <c r="I80" s="47">
        <f t="shared" si="4"/>
        <v>232466.10419902028</v>
      </c>
      <c r="J80" s="5">
        <f t="shared" si="5"/>
        <v>1481.9714142687542</v>
      </c>
      <c r="K80" s="47">
        <f t="shared" si="6"/>
        <v>-1773.7858123854903</v>
      </c>
      <c r="L80" s="47">
        <f t="shared" si="7"/>
        <v>232174.28980090353</v>
      </c>
    </row>
    <row r="81" spans="9:12" s="2" customFormat="1" x14ac:dyDescent="0.35">
      <c r="I81" s="47">
        <f t="shared" si="4"/>
        <v>232174.28980090353</v>
      </c>
      <c r="J81" s="5">
        <f t="shared" si="5"/>
        <v>1480.1110974807598</v>
      </c>
      <c r="K81" s="47">
        <f t="shared" si="6"/>
        <v>-1773.7858123854903</v>
      </c>
      <c r="L81" s="47">
        <f t="shared" si="7"/>
        <v>231880.61508599878</v>
      </c>
    </row>
    <row r="82" spans="9:12" s="2" customFormat="1" x14ac:dyDescent="0.35">
      <c r="I82" s="47">
        <f t="shared" si="4"/>
        <v>231880.61508599878</v>
      </c>
      <c r="J82" s="5">
        <f t="shared" si="5"/>
        <v>1478.238921173242</v>
      </c>
      <c r="K82" s="47">
        <f t="shared" si="6"/>
        <v>-1773.7858123854903</v>
      </c>
      <c r="L82" s="47">
        <f t="shared" si="7"/>
        <v>231585.06819478652</v>
      </c>
    </row>
    <row r="83" spans="9:12" s="2" customFormat="1" x14ac:dyDescent="0.35">
      <c r="I83" s="47">
        <f t="shared" si="4"/>
        <v>231585.06819478652</v>
      </c>
      <c r="J83" s="5">
        <f t="shared" si="5"/>
        <v>1476.354809741764</v>
      </c>
      <c r="K83" s="47">
        <f t="shared" si="6"/>
        <v>-1773.7858123854903</v>
      </c>
      <c r="L83" s="47">
        <f t="shared" si="7"/>
        <v>231287.63719214278</v>
      </c>
    </row>
    <row r="84" spans="9:12" s="2" customFormat="1" x14ac:dyDescent="0.35">
      <c r="I84" s="47">
        <f t="shared" si="4"/>
        <v>231287.63719214278</v>
      </c>
      <c r="J84" s="5">
        <f t="shared" si="5"/>
        <v>1474.4586870999101</v>
      </c>
      <c r="K84" s="47">
        <f t="shared" si="6"/>
        <v>-1773.7858123854903</v>
      </c>
      <c r="L84" s="47">
        <f t="shared" si="7"/>
        <v>230988.3100668572</v>
      </c>
    </row>
    <row r="85" spans="9:12" s="2" customFormat="1" x14ac:dyDescent="0.35">
      <c r="I85" s="47">
        <f t="shared" si="4"/>
        <v>230988.3100668572</v>
      </c>
      <c r="J85" s="5">
        <f t="shared" si="5"/>
        <v>1472.5504766762147</v>
      </c>
      <c r="K85" s="47">
        <f t="shared" si="6"/>
        <v>-1773.7858123854903</v>
      </c>
      <c r="L85" s="47">
        <f t="shared" si="7"/>
        <v>230687.07473114791</v>
      </c>
    </row>
    <row r="86" spans="9:12" s="2" customFormat="1" x14ac:dyDescent="0.35">
      <c r="I86" s="47">
        <f t="shared" si="4"/>
        <v>230687.07473114791</v>
      </c>
      <c r="J86" s="5">
        <f t="shared" si="5"/>
        <v>1470.6301014110677</v>
      </c>
      <c r="K86" s="47">
        <f t="shared" si="6"/>
        <v>-1773.7858123854903</v>
      </c>
      <c r="L86" s="47">
        <f t="shared" si="7"/>
        <v>230383.91902017349</v>
      </c>
    </row>
    <row r="87" spans="9:12" s="2" customFormat="1" x14ac:dyDescent="0.35">
      <c r="I87" s="47">
        <f t="shared" si="4"/>
        <v>230383.91902017349</v>
      </c>
      <c r="J87" s="5">
        <f t="shared" si="5"/>
        <v>1468.6974837536059</v>
      </c>
      <c r="K87" s="47">
        <f t="shared" si="6"/>
        <v>-1773.7858123854903</v>
      </c>
      <c r="L87" s="47">
        <f t="shared" si="7"/>
        <v>230078.8306915416</v>
      </c>
    </row>
    <row r="88" spans="9:12" s="2" customFormat="1" x14ac:dyDescent="0.35">
      <c r="I88" s="47">
        <f t="shared" si="4"/>
        <v>230078.8306915416</v>
      </c>
      <c r="J88" s="5">
        <f t="shared" si="5"/>
        <v>1466.7525456585777</v>
      </c>
      <c r="K88" s="47">
        <f t="shared" si="6"/>
        <v>-1773.7858123854903</v>
      </c>
      <c r="L88" s="47">
        <f t="shared" si="7"/>
        <v>229771.79742481469</v>
      </c>
    </row>
    <row r="89" spans="9:12" s="2" customFormat="1" x14ac:dyDescent="0.35">
      <c r="I89" s="47">
        <f t="shared" si="4"/>
        <v>229771.79742481469</v>
      </c>
      <c r="J89" s="5">
        <f t="shared" si="5"/>
        <v>1464.7952085831935</v>
      </c>
      <c r="K89" s="47">
        <f t="shared" si="6"/>
        <v>-1773.7858123854903</v>
      </c>
      <c r="L89" s="47">
        <f t="shared" si="7"/>
        <v>229462.8068210124</v>
      </c>
    </row>
    <row r="90" spans="9:12" s="2" customFormat="1" x14ac:dyDescent="0.35">
      <c r="I90" s="47">
        <f t="shared" si="4"/>
        <v>229462.8068210124</v>
      </c>
      <c r="J90" s="5">
        <f t="shared" si="5"/>
        <v>1462.825393483954</v>
      </c>
      <c r="K90" s="47">
        <f t="shared" si="6"/>
        <v>-1773.7858123854903</v>
      </c>
      <c r="L90" s="47">
        <f t="shared" si="7"/>
        <v>229151.84640211085</v>
      </c>
    </row>
    <row r="91" spans="9:12" s="2" customFormat="1" x14ac:dyDescent="0.35">
      <c r="I91" s="47">
        <f t="shared" si="4"/>
        <v>229151.84640211085</v>
      </c>
      <c r="J91" s="5">
        <f t="shared" si="5"/>
        <v>1460.8430208134566</v>
      </c>
      <c r="K91" s="47">
        <f t="shared" si="6"/>
        <v>-1773.7858123854903</v>
      </c>
      <c r="L91" s="47">
        <f t="shared" si="7"/>
        <v>228838.90361053881</v>
      </c>
    </row>
    <row r="92" spans="9:12" s="2" customFormat="1" x14ac:dyDescent="0.35">
      <c r="I92" s="47">
        <f t="shared" si="4"/>
        <v>228838.90361053881</v>
      </c>
      <c r="J92" s="5">
        <f t="shared" si="5"/>
        <v>1458.8480105171848</v>
      </c>
      <c r="K92" s="47">
        <f t="shared" si="6"/>
        <v>-1773.7858123854903</v>
      </c>
      <c r="L92" s="47">
        <f t="shared" si="7"/>
        <v>228523.9658086705</v>
      </c>
    </row>
    <row r="93" spans="9:12" s="2" customFormat="1" x14ac:dyDescent="0.35">
      <c r="I93" s="47">
        <f t="shared" si="4"/>
        <v>228523.9658086705</v>
      </c>
      <c r="J93" s="5">
        <f t="shared" si="5"/>
        <v>1456.8402820302745</v>
      </c>
      <c r="K93" s="47">
        <f t="shared" si="6"/>
        <v>-1773.7858123854903</v>
      </c>
      <c r="L93" s="47">
        <f t="shared" si="7"/>
        <v>228207.02027831529</v>
      </c>
    </row>
    <row r="94" spans="9:12" s="2" customFormat="1" x14ac:dyDescent="0.35">
      <c r="I94" s="47">
        <f t="shared" si="4"/>
        <v>228207.02027831529</v>
      </c>
      <c r="J94" s="5">
        <f t="shared" si="5"/>
        <v>1454.8197542742598</v>
      </c>
      <c r="K94" s="47">
        <f t="shared" si="6"/>
        <v>-1773.7858123854903</v>
      </c>
      <c r="L94" s="47">
        <f t="shared" si="7"/>
        <v>227888.05422020407</v>
      </c>
    </row>
    <row r="95" spans="9:12" s="2" customFormat="1" x14ac:dyDescent="0.35">
      <c r="I95" s="47">
        <f t="shared" si="4"/>
        <v>227888.05422020407</v>
      </c>
      <c r="J95" s="5">
        <f t="shared" si="5"/>
        <v>1452.7863456538009</v>
      </c>
      <c r="K95" s="47">
        <f t="shared" si="6"/>
        <v>-1773.7858123854903</v>
      </c>
      <c r="L95" s="47">
        <f t="shared" si="7"/>
        <v>227567.05475347236</v>
      </c>
    </row>
    <row r="96" spans="9:12" s="2" customFormat="1" x14ac:dyDescent="0.35">
      <c r="I96" s="47">
        <f t="shared" si="4"/>
        <v>227567.05475347236</v>
      </c>
      <c r="J96" s="5">
        <f t="shared" si="5"/>
        <v>1450.7399740533863</v>
      </c>
      <c r="K96" s="47">
        <f t="shared" si="6"/>
        <v>-1773.7858123854903</v>
      </c>
      <c r="L96" s="47">
        <f t="shared" si="7"/>
        <v>227244.00891514024</v>
      </c>
    </row>
    <row r="97" spans="9:12" s="2" customFormat="1" x14ac:dyDescent="0.35">
      <c r="I97" s="47">
        <f t="shared" si="4"/>
        <v>227244.00891514024</v>
      </c>
      <c r="J97" s="5">
        <f t="shared" si="5"/>
        <v>1448.6805568340189</v>
      </c>
      <c r="K97" s="47">
        <f t="shared" si="6"/>
        <v>-1773.7858123854903</v>
      </c>
      <c r="L97" s="47">
        <f t="shared" si="7"/>
        <v>226918.90365958874</v>
      </c>
    </row>
    <row r="98" spans="9:12" s="2" customFormat="1" x14ac:dyDescent="0.35">
      <c r="I98" s="47">
        <f t="shared" si="4"/>
        <v>226918.90365958874</v>
      </c>
      <c r="J98" s="5">
        <f t="shared" si="5"/>
        <v>1446.6080108298781</v>
      </c>
      <c r="K98" s="47">
        <f t="shared" si="6"/>
        <v>-1773.7858123854903</v>
      </c>
      <c r="L98" s="47">
        <f t="shared" si="7"/>
        <v>226591.72585803314</v>
      </c>
    </row>
    <row r="99" spans="9:12" s="2" customFormat="1" x14ac:dyDescent="0.35">
      <c r="I99" s="47">
        <f t="shared" si="4"/>
        <v>226591.72585803314</v>
      </c>
      <c r="J99" s="5">
        <f t="shared" si="5"/>
        <v>1444.5222523449611</v>
      </c>
      <c r="K99" s="47">
        <f t="shared" si="6"/>
        <v>-1773.7858123854903</v>
      </c>
      <c r="L99" s="47">
        <f t="shared" si="7"/>
        <v>226262.46229799261</v>
      </c>
    </row>
    <row r="100" spans="9:12" s="2" customFormat="1" x14ac:dyDescent="0.35">
      <c r="I100" s="47">
        <f t="shared" si="4"/>
        <v>226262.46229799261</v>
      </c>
      <c r="J100" s="5">
        <f t="shared" si="5"/>
        <v>1442.4231971497027</v>
      </c>
      <c r="K100" s="47">
        <f t="shared" si="6"/>
        <v>-1773.7858123854903</v>
      </c>
      <c r="L100" s="47">
        <f t="shared" si="7"/>
        <v>225931.09968275682</v>
      </c>
    </row>
    <row r="101" spans="9:12" s="2" customFormat="1" x14ac:dyDescent="0.35">
      <c r="I101" s="47">
        <f t="shared" si="4"/>
        <v>225931.09968275682</v>
      </c>
      <c r="J101" s="5">
        <f t="shared" si="5"/>
        <v>1440.3107604775746</v>
      </c>
      <c r="K101" s="47">
        <f t="shared" si="6"/>
        <v>-1773.7858123854903</v>
      </c>
      <c r="L101" s="47">
        <f t="shared" si="7"/>
        <v>225597.62463084891</v>
      </c>
    </row>
    <row r="102" spans="9:12" s="2" customFormat="1" x14ac:dyDescent="0.35">
      <c r="I102" s="47">
        <f t="shared" si="4"/>
        <v>225597.62463084891</v>
      </c>
      <c r="J102" s="5">
        <f t="shared" si="5"/>
        <v>1438.1848570216616</v>
      </c>
      <c r="K102" s="47">
        <f t="shared" si="6"/>
        <v>-1773.7858123854903</v>
      </c>
      <c r="L102" s="47">
        <f t="shared" si="7"/>
        <v>225262.02367548508</v>
      </c>
    </row>
    <row r="103" spans="9:12" s="2" customFormat="1" x14ac:dyDescent="0.35">
      <c r="I103" s="47">
        <f t="shared" si="4"/>
        <v>225262.02367548508</v>
      </c>
      <c r="J103" s="5">
        <f t="shared" si="5"/>
        <v>1436.0454009312173</v>
      </c>
      <c r="K103" s="47">
        <f t="shared" si="6"/>
        <v>-1773.7858123854903</v>
      </c>
      <c r="L103" s="47">
        <f t="shared" si="7"/>
        <v>224924.28326403079</v>
      </c>
    </row>
    <row r="104" spans="9:12" s="2" customFormat="1" x14ac:dyDescent="0.35">
      <c r="I104" s="47">
        <f t="shared" si="4"/>
        <v>224924.28326403079</v>
      </c>
      <c r="J104" s="5">
        <f t="shared" si="5"/>
        <v>1433.8923058081962</v>
      </c>
      <c r="K104" s="47">
        <f t="shared" si="6"/>
        <v>-1773.7858123854903</v>
      </c>
      <c r="L104" s="47">
        <f t="shared" si="7"/>
        <v>224584.38975745349</v>
      </c>
    </row>
    <row r="105" spans="9:12" s="2" customFormat="1" x14ac:dyDescent="0.35">
      <c r="I105" s="47">
        <f t="shared" si="4"/>
        <v>224584.38975745349</v>
      </c>
      <c r="J105" s="5">
        <f t="shared" si="5"/>
        <v>1431.7254847037659</v>
      </c>
      <c r="K105" s="47">
        <f t="shared" si="6"/>
        <v>-1773.7858123854903</v>
      </c>
      <c r="L105" s="47">
        <f t="shared" si="7"/>
        <v>224242.32942977175</v>
      </c>
    </row>
    <row r="106" spans="9:12" s="2" customFormat="1" x14ac:dyDescent="0.35">
      <c r="I106" s="47">
        <f t="shared" si="4"/>
        <v>224242.32942977175</v>
      </c>
      <c r="J106" s="5">
        <f t="shared" si="5"/>
        <v>1429.5448501147948</v>
      </c>
      <c r="K106" s="47">
        <f t="shared" si="6"/>
        <v>-1773.7858123854903</v>
      </c>
      <c r="L106" s="47">
        <f t="shared" si="7"/>
        <v>223898.08846750105</v>
      </c>
    </row>
    <row r="107" spans="9:12" s="2" customFormat="1" x14ac:dyDescent="0.35">
      <c r="I107" s="47">
        <f t="shared" si="4"/>
        <v>223898.08846750105</v>
      </c>
      <c r="J107" s="5">
        <f t="shared" si="5"/>
        <v>1427.350313980319</v>
      </c>
      <c r="K107" s="47">
        <f t="shared" si="6"/>
        <v>-1773.7858123854903</v>
      </c>
      <c r="L107" s="47">
        <f t="shared" si="7"/>
        <v>223551.65296909586</v>
      </c>
    </row>
    <row r="108" spans="9:12" s="2" customFormat="1" x14ac:dyDescent="0.35">
      <c r="I108" s="47">
        <f t="shared" si="4"/>
        <v>223551.65296909586</v>
      </c>
      <c r="J108" s="5">
        <f t="shared" si="5"/>
        <v>1425.141787677986</v>
      </c>
      <c r="K108" s="47">
        <f t="shared" si="6"/>
        <v>-1773.7858123854903</v>
      </c>
      <c r="L108" s="47">
        <f t="shared" si="7"/>
        <v>223203.00894438833</v>
      </c>
    </row>
    <row r="109" spans="9:12" s="2" customFormat="1" x14ac:dyDescent="0.35">
      <c r="I109" s="47">
        <f t="shared" si="4"/>
        <v>223203.00894438833</v>
      </c>
      <c r="J109" s="5">
        <f t="shared" si="5"/>
        <v>1422.9191820204755</v>
      </c>
      <c r="K109" s="47">
        <f t="shared" si="6"/>
        <v>-1773.7858123854903</v>
      </c>
      <c r="L109" s="47">
        <f t="shared" si="7"/>
        <v>222852.14231402331</v>
      </c>
    </row>
    <row r="110" spans="9:12" s="2" customFormat="1" x14ac:dyDescent="0.35">
      <c r="I110" s="47">
        <f t="shared" si="4"/>
        <v>222852.14231402331</v>
      </c>
      <c r="J110" s="5">
        <f t="shared" si="5"/>
        <v>1420.6824072518984</v>
      </c>
      <c r="K110" s="47">
        <f t="shared" si="6"/>
        <v>-1773.7858123854903</v>
      </c>
      <c r="L110" s="47">
        <f t="shared" si="7"/>
        <v>222499.03890888972</v>
      </c>
    </row>
    <row r="111" spans="9:12" s="2" customFormat="1" x14ac:dyDescent="0.35">
      <c r="I111" s="47">
        <f t="shared" si="4"/>
        <v>222499.03890888972</v>
      </c>
      <c r="J111" s="5">
        <f t="shared" si="5"/>
        <v>1418.4313730441718</v>
      </c>
      <c r="K111" s="47">
        <f t="shared" si="6"/>
        <v>-1773.7858123854903</v>
      </c>
      <c r="L111" s="47">
        <f t="shared" si="7"/>
        <v>222143.6844695484</v>
      </c>
    </row>
    <row r="112" spans="9:12" s="2" customFormat="1" x14ac:dyDescent="0.35">
      <c r="I112" s="47">
        <f t="shared" si="4"/>
        <v>222143.6844695484</v>
      </c>
      <c r="J112" s="5">
        <f t="shared" si="5"/>
        <v>1416.1659884933711</v>
      </c>
      <c r="K112" s="47">
        <f t="shared" si="6"/>
        <v>-1773.7858123854903</v>
      </c>
      <c r="L112" s="47">
        <f t="shared" si="7"/>
        <v>221786.06464565627</v>
      </c>
    </row>
    <row r="113" spans="9:12" s="2" customFormat="1" x14ac:dyDescent="0.35">
      <c r="I113" s="47">
        <f t="shared" si="4"/>
        <v>221786.06464565627</v>
      </c>
      <c r="J113" s="5">
        <f t="shared" si="5"/>
        <v>1413.8861621160586</v>
      </c>
      <c r="K113" s="47">
        <f t="shared" si="6"/>
        <v>-1773.7858123854903</v>
      </c>
      <c r="L113" s="47">
        <f t="shared" si="7"/>
        <v>221426.16499538682</v>
      </c>
    </row>
    <row r="114" spans="9:12" s="2" customFormat="1" x14ac:dyDescent="0.35">
      <c r="I114" s="47">
        <f t="shared" si="4"/>
        <v>221426.16499538682</v>
      </c>
      <c r="J114" s="5">
        <f t="shared" si="5"/>
        <v>1411.5918018455909</v>
      </c>
      <c r="K114" s="47">
        <f t="shared" si="6"/>
        <v>-1773.7858123854903</v>
      </c>
      <c r="L114" s="47">
        <f t="shared" si="7"/>
        <v>221063.97098484691</v>
      </c>
    </row>
    <row r="115" spans="9:12" s="2" customFormat="1" x14ac:dyDescent="0.35">
      <c r="I115" s="47">
        <f t="shared" si="4"/>
        <v>221063.97098484691</v>
      </c>
      <c r="J115" s="5">
        <f t="shared" si="5"/>
        <v>1409.282815028399</v>
      </c>
      <c r="K115" s="47">
        <f t="shared" si="6"/>
        <v>-1773.7858123854903</v>
      </c>
      <c r="L115" s="47">
        <f t="shared" si="7"/>
        <v>220699.4679874898</v>
      </c>
    </row>
    <row r="116" spans="9:12" s="2" customFormat="1" x14ac:dyDescent="0.35">
      <c r="I116" s="47">
        <f t="shared" si="4"/>
        <v>220699.4679874898</v>
      </c>
      <c r="J116" s="5">
        <f t="shared" si="5"/>
        <v>1406.9591084202473</v>
      </c>
      <c r="K116" s="47">
        <f t="shared" si="6"/>
        <v>-1773.7858123854903</v>
      </c>
      <c r="L116" s="47">
        <f t="shared" si="7"/>
        <v>220332.64128352454</v>
      </c>
    </row>
    <row r="117" spans="9:12" s="2" customFormat="1" x14ac:dyDescent="0.35">
      <c r="I117" s="47">
        <f t="shared" si="4"/>
        <v>220332.64128352454</v>
      </c>
      <c r="J117" s="5">
        <f t="shared" si="5"/>
        <v>1404.620588182469</v>
      </c>
      <c r="K117" s="47">
        <f t="shared" si="6"/>
        <v>-1773.7858123854903</v>
      </c>
      <c r="L117" s="47">
        <f t="shared" si="7"/>
        <v>219963.47605932152</v>
      </c>
    </row>
    <row r="118" spans="9:12" s="2" customFormat="1" x14ac:dyDescent="0.35">
      <c r="I118" s="47">
        <f t="shared" si="4"/>
        <v>219963.47605932152</v>
      </c>
      <c r="J118" s="5">
        <f t="shared" si="5"/>
        <v>1402.2671598781747</v>
      </c>
      <c r="K118" s="47">
        <f t="shared" si="6"/>
        <v>-1773.7858123854903</v>
      </c>
      <c r="L118" s="47">
        <f t="shared" si="7"/>
        <v>219591.95740681421</v>
      </c>
    </row>
    <row r="119" spans="9:12" s="2" customFormat="1" x14ac:dyDescent="0.35">
      <c r="I119" s="47">
        <f t="shared" si="4"/>
        <v>219591.95740681421</v>
      </c>
      <c r="J119" s="5">
        <f t="shared" si="5"/>
        <v>1399.8987284684406</v>
      </c>
      <c r="K119" s="47">
        <f t="shared" si="6"/>
        <v>-1773.7858123854903</v>
      </c>
      <c r="L119" s="47">
        <f t="shared" si="7"/>
        <v>219218.07032289714</v>
      </c>
    </row>
    <row r="120" spans="9:12" s="2" customFormat="1" x14ac:dyDescent="0.35">
      <c r="I120" s="47">
        <f t="shared" si="4"/>
        <v>219218.07032289714</v>
      </c>
      <c r="J120" s="5">
        <f t="shared" si="5"/>
        <v>1397.5151983084693</v>
      </c>
      <c r="K120" s="47">
        <f t="shared" si="6"/>
        <v>-1773.7858123854903</v>
      </c>
      <c r="L120" s="47">
        <f t="shared" si="7"/>
        <v>218841.79970882012</v>
      </c>
    </row>
    <row r="121" spans="9:12" s="2" customFormat="1" x14ac:dyDescent="0.35">
      <c r="I121" s="47">
        <f t="shared" si="4"/>
        <v>218841.79970882012</v>
      </c>
      <c r="J121" s="5">
        <f t="shared" si="5"/>
        <v>1395.1164731437282</v>
      </c>
      <c r="K121" s="47">
        <f t="shared" si="6"/>
        <v>-1773.7858123854903</v>
      </c>
      <c r="L121" s="47">
        <f t="shared" si="7"/>
        <v>218463.13036957834</v>
      </c>
    </row>
    <row r="122" spans="9:12" s="2" customFormat="1" x14ac:dyDescent="0.35">
      <c r="I122" s="47">
        <f t="shared" si="4"/>
        <v>218463.13036957834</v>
      </c>
      <c r="J122" s="5">
        <f t="shared" si="5"/>
        <v>1392.7024561060618</v>
      </c>
      <c r="K122" s="47">
        <f t="shared" si="6"/>
        <v>-1773.7858123854903</v>
      </c>
      <c r="L122" s="47">
        <f t="shared" si="7"/>
        <v>218082.0470132989</v>
      </c>
    </row>
    <row r="123" spans="9:12" s="2" customFormat="1" x14ac:dyDescent="0.35">
      <c r="I123" s="47">
        <f t="shared" si="4"/>
        <v>218082.0470132989</v>
      </c>
      <c r="J123" s="5">
        <f t="shared" si="5"/>
        <v>1390.2730497097805</v>
      </c>
      <c r="K123" s="47">
        <f t="shared" si="6"/>
        <v>-1773.7858123854903</v>
      </c>
      <c r="L123" s="47">
        <f t="shared" si="7"/>
        <v>217698.5342506232</v>
      </c>
    </row>
    <row r="124" spans="9:12" s="2" customFormat="1" x14ac:dyDescent="0.35">
      <c r="I124" s="47">
        <f t="shared" si="4"/>
        <v>217698.5342506232</v>
      </c>
      <c r="J124" s="5">
        <f t="shared" si="5"/>
        <v>1387.8281558477229</v>
      </c>
      <c r="K124" s="47">
        <f t="shared" si="6"/>
        <v>-1773.7858123854903</v>
      </c>
      <c r="L124" s="47">
        <f t="shared" si="7"/>
        <v>217312.57659408543</v>
      </c>
    </row>
    <row r="125" spans="9:12" s="2" customFormat="1" x14ac:dyDescent="0.35">
      <c r="I125" s="47">
        <f t="shared" si="4"/>
        <v>217312.57659408543</v>
      </c>
      <c r="J125" s="5">
        <f t="shared" si="5"/>
        <v>1385.3676757872945</v>
      </c>
      <c r="K125" s="47">
        <f t="shared" si="6"/>
        <v>-1773.7858123854903</v>
      </c>
      <c r="L125" s="47">
        <f t="shared" si="7"/>
        <v>216924.15845748724</v>
      </c>
    </row>
    <row r="126" spans="9:12" s="2" customFormat="1" x14ac:dyDescent="0.35">
      <c r="I126" s="47">
        <f t="shared" si="4"/>
        <v>216924.15845748724</v>
      </c>
      <c r="J126" s="5">
        <f t="shared" si="5"/>
        <v>1382.8915101664811</v>
      </c>
      <c r="K126" s="47">
        <f t="shared" si="6"/>
        <v>-1773.7858123854903</v>
      </c>
      <c r="L126" s="47">
        <f t="shared" si="7"/>
        <v>216533.26415526823</v>
      </c>
    </row>
    <row r="127" spans="9:12" s="2" customFormat="1" x14ac:dyDescent="0.35">
      <c r="I127" s="47">
        <f t="shared" si="4"/>
        <v>216533.26415526823</v>
      </c>
      <c r="J127" s="5">
        <f t="shared" si="5"/>
        <v>1380.399558989835</v>
      </c>
      <c r="K127" s="47">
        <f t="shared" si="6"/>
        <v>-1773.7858123854903</v>
      </c>
      <c r="L127" s="47">
        <f t="shared" si="7"/>
        <v>216139.87790187256</v>
      </c>
    </row>
    <row r="128" spans="9:12" s="2" customFormat="1" x14ac:dyDescent="0.35">
      <c r="I128" s="47">
        <f t="shared" si="4"/>
        <v>216139.87790187256</v>
      </c>
      <c r="J128" s="5">
        <f t="shared" si="5"/>
        <v>1377.8917216244374</v>
      </c>
      <c r="K128" s="47">
        <f t="shared" si="6"/>
        <v>-1773.7858123854903</v>
      </c>
      <c r="L128" s="47">
        <f t="shared" si="7"/>
        <v>215743.98381111151</v>
      </c>
    </row>
    <row r="129" spans="9:12" s="2" customFormat="1" x14ac:dyDescent="0.35">
      <c r="I129" s="47">
        <f t="shared" si="4"/>
        <v>215743.98381111151</v>
      </c>
      <c r="J129" s="5">
        <f t="shared" si="5"/>
        <v>1375.3678967958358</v>
      </c>
      <c r="K129" s="47">
        <f t="shared" si="6"/>
        <v>-1773.7858123854903</v>
      </c>
      <c r="L129" s="47">
        <f t="shared" si="7"/>
        <v>215345.56589552184</v>
      </c>
    </row>
    <row r="130" spans="9:12" s="2" customFormat="1" x14ac:dyDescent="0.35">
      <c r="I130" s="47">
        <f t="shared" si="4"/>
        <v>215345.56589552184</v>
      </c>
      <c r="J130" s="5">
        <f t="shared" si="5"/>
        <v>1372.8279825839516</v>
      </c>
      <c r="K130" s="47">
        <f t="shared" si="6"/>
        <v>-1773.7858123854903</v>
      </c>
      <c r="L130" s="47">
        <f t="shared" si="7"/>
        <v>214944.6080657203</v>
      </c>
    </row>
    <row r="131" spans="9:12" s="2" customFormat="1" x14ac:dyDescent="0.35">
      <c r="I131" s="47">
        <f t="shared" si="4"/>
        <v>214944.6080657203</v>
      </c>
      <c r="J131" s="5">
        <f t="shared" si="5"/>
        <v>1370.2718764189667</v>
      </c>
      <c r="K131" s="47">
        <f t="shared" si="6"/>
        <v>-1773.7858123854903</v>
      </c>
      <c r="L131" s="47">
        <f t="shared" si="7"/>
        <v>214541.09412975376</v>
      </c>
    </row>
    <row r="132" spans="9:12" s="2" customFormat="1" x14ac:dyDescent="0.35">
      <c r="I132" s="47">
        <f t="shared" si="4"/>
        <v>214541.09412975376</v>
      </c>
      <c r="J132" s="5">
        <f t="shared" si="5"/>
        <v>1367.6994750771801</v>
      </c>
      <c r="K132" s="47">
        <f t="shared" si="6"/>
        <v>-1773.7858123854903</v>
      </c>
      <c r="L132" s="47">
        <f t="shared" si="7"/>
        <v>214135.00779244545</v>
      </c>
    </row>
    <row r="133" spans="9:12" s="2" customFormat="1" x14ac:dyDescent="0.35">
      <c r="I133" s="47">
        <f t="shared" si="4"/>
        <v>214135.00779244545</v>
      </c>
      <c r="J133" s="5">
        <f t="shared" si="5"/>
        <v>1365.1106746768396</v>
      </c>
      <c r="K133" s="47">
        <f t="shared" si="6"/>
        <v>-1773.7858123854903</v>
      </c>
      <c r="L133" s="47">
        <f t="shared" si="7"/>
        <v>213726.33265473679</v>
      </c>
    </row>
    <row r="134" spans="9:12" s="2" customFormat="1" x14ac:dyDescent="0.35">
      <c r="I134" s="47">
        <f t="shared" ref="I134:I197" si="8">L133</f>
        <v>213726.33265473679</v>
      </c>
      <c r="J134" s="5">
        <f t="shared" ref="J134:J197" si="9">$G$6*I134</f>
        <v>1362.505370673947</v>
      </c>
      <c r="K134" s="47">
        <f t="shared" ref="K134:K197" si="10">$G$7</f>
        <v>-1773.7858123854903</v>
      </c>
      <c r="L134" s="47">
        <f t="shared" ref="L134:L197" si="11">I134+J134+K134</f>
        <v>213315.05221302525</v>
      </c>
    </row>
    <row r="135" spans="9:12" s="2" customFormat="1" x14ac:dyDescent="0.35">
      <c r="I135" s="47">
        <f t="shared" si="8"/>
        <v>213315.05221302525</v>
      </c>
      <c r="J135" s="5">
        <f t="shared" si="9"/>
        <v>1359.8834578580359</v>
      </c>
      <c r="K135" s="47">
        <f t="shared" si="10"/>
        <v>-1773.7858123854903</v>
      </c>
      <c r="L135" s="47">
        <f t="shared" si="11"/>
        <v>212901.14985849778</v>
      </c>
    </row>
    <row r="136" spans="9:12" s="2" customFormat="1" x14ac:dyDescent="0.35">
      <c r="I136" s="47">
        <f t="shared" si="8"/>
        <v>212901.14985849778</v>
      </c>
      <c r="J136" s="5">
        <f t="shared" si="9"/>
        <v>1357.2448303479232</v>
      </c>
      <c r="K136" s="47">
        <f t="shared" si="10"/>
        <v>-1773.7858123854903</v>
      </c>
      <c r="L136" s="47">
        <f t="shared" si="11"/>
        <v>212484.6088764602</v>
      </c>
    </row>
    <row r="137" spans="9:12" s="2" customFormat="1" x14ac:dyDescent="0.35">
      <c r="I137" s="47">
        <f t="shared" si="8"/>
        <v>212484.6088764602</v>
      </c>
      <c r="J137" s="5">
        <f t="shared" si="9"/>
        <v>1354.5893815874338</v>
      </c>
      <c r="K137" s="47">
        <f t="shared" si="10"/>
        <v>-1773.7858123854903</v>
      </c>
      <c r="L137" s="47">
        <f t="shared" si="11"/>
        <v>212065.41244566214</v>
      </c>
    </row>
    <row r="138" spans="9:12" s="2" customFormat="1" x14ac:dyDescent="0.35">
      <c r="I138" s="47">
        <f t="shared" si="8"/>
        <v>212065.41244566214</v>
      </c>
      <c r="J138" s="5">
        <f t="shared" si="9"/>
        <v>1351.9170043410961</v>
      </c>
      <c r="K138" s="47">
        <f t="shared" si="10"/>
        <v>-1773.7858123854903</v>
      </c>
      <c r="L138" s="47">
        <f t="shared" si="11"/>
        <v>211643.54363761772</v>
      </c>
    </row>
    <row r="139" spans="9:12" s="2" customFormat="1" x14ac:dyDescent="0.35">
      <c r="I139" s="47">
        <f t="shared" si="8"/>
        <v>211643.54363761772</v>
      </c>
      <c r="J139" s="5">
        <f t="shared" si="9"/>
        <v>1349.2275906898128</v>
      </c>
      <c r="K139" s="47">
        <f t="shared" si="10"/>
        <v>-1773.7858123854903</v>
      </c>
      <c r="L139" s="47">
        <f t="shared" si="11"/>
        <v>211218.98541592204</v>
      </c>
    </row>
    <row r="140" spans="9:12" s="2" customFormat="1" x14ac:dyDescent="0.35">
      <c r="I140" s="47">
        <f t="shared" si="8"/>
        <v>211218.98541592204</v>
      </c>
      <c r="J140" s="5">
        <f t="shared" si="9"/>
        <v>1346.521032026503</v>
      </c>
      <c r="K140" s="47">
        <f t="shared" si="10"/>
        <v>-1773.7858123854903</v>
      </c>
      <c r="L140" s="47">
        <f t="shared" si="11"/>
        <v>210791.72063556305</v>
      </c>
    </row>
    <row r="141" spans="9:12" s="2" customFormat="1" x14ac:dyDescent="0.35">
      <c r="I141" s="47">
        <f t="shared" si="8"/>
        <v>210791.72063556305</v>
      </c>
      <c r="J141" s="5">
        <f t="shared" si="9"/>
        <v>1343.7972190517144</v>
      </c>
      <c r="K141" s="47">
        <f t="shared" si="10"/>
        <v>-1773.7858123854903</v>
      </c>
      <c r="L141" s="47">
        <f t="shared" si="11"/>
        <v>210361.73204222927</v>
      </c>
    </row>
    <row r="142" spans="9:12" s="2" customFormat="1" x14ac:dyDescent="0.35">
      <c r="I142" s="47">
        <f t="shared" si="8"/>
        <v>210361.73204222927</v>
      </c>
      <c r="J142" s="5">
        <f t="shared" si="9"/>
        <v>1341.0560417692116</v>
      </c>
      <c r="K142" s="47">
        <f t="shared" si="10"/>
        <v>-1773.7858123854903</v>
      </c>
      <c r="L142" s="47">
        <f t="shared" si="11"/>
        <v>209929.00227161299</v>
      </c>
    </row>
    <row r="143" spans="9:12" s="2" customFormat="1" x14ac:dyDescent="0.35">
      <c r="I143" s="47">
        <f t="shared" si="8"/>
        <v>209929.00227161299</v>
      </c>
      <c r="J143" s="5">
        <f t="shared" si="9"/>
        <v>1338.2973894815327</v>
      </c>
      <c r="K143" s="47">
        <f t="shared" si="10"/>
        <v>-1773.7858123854903</v>
      </c>
      <c r="L143" s="47">
        <f t="shared" si="11"/>
        <v>209493.51384870903</v>
      </c>
    </row>
    <row r="144" spans="9:12" s="2" customFormat="1" x14ac:dyDescent="0.35">
      <c r="I144" s="47">
        <f t="shared" si="8"/>
        <v>209493.51384870903</v>
      </c>
      <c r="J144" s="5">
        <f t="shared" si="9"/>
        <v>1335.5211507855199</v>
      </c>
      <c r="K144" s="47">
        <f t="shared" si="10"/>
        <v>-1773.7858123854903</v>
      </c>
      <c r="L144" s="47">
        <f t="shared" si="11"/>
        <v>209055.24918710906</v>
      </c>
    </row>
    <row r="145" spans="9:12" s="2" customFormat="1" x14ac:dyDescent="0.35">
      <c r="I145" s="47">
        <f t="shared" si="8"/>
        <v>209055.24918710906</v>
      </c>
      <c r="J145" s="5">
        <f t="shared" si="9"/>
        <v>1332.7272135678202</v>
      </c>
      <c r="K145" s="47">
        <f t="shared" si="10"/>
        <v>-1773.7858123854903</v>
      </c>
      <c r="L145" s="47">
        <f t="shared" si="11"/>
        <v>208614.19058829139</v>
      </c>
    </row>
    <row r="146" spans="9:12" s="2" customFormat="1" x14ac:dyDescent="0.35">
      <c r="I146" s="47">
        <f t="shared" si="8"/>
        <v>208614.19058829139</v>
      </c>
      <c r="J146" s="5">
        <f t="shared" si="9"/>
        <v>1329.9154650003575</v>
      </c>
      <c r="K146" s="47">
        <f t="shared" si="10"/>
        <v>-1773.7858123854903</v>
      </c>
      <c r="L146" s="47">
        <f t="shared" si="11"/>
        <v>208170.32024090624</v>
      </c>
    </row>
    <row r="147" spans="9:12" s="2" customFormat="1" x14ac:dyDescent="0.35">
      <c r="I147" s="47">
        <f t="shared" si="8"/>
        <v>208170.32024090624</v>
      </c>
      <c r="J147" s="5">
        <f t="shared" si="9"/>
        <v>1327.0857915357772</v>
      </c>
      <c r="K147" s="47">
        <f t="shared" si="10"/>
        <v>-1773.7858123854903</v>
      </c>
      <c r="L147" s="47">
        <f t="shared" si="11"/>
        <v>207723.6202200565</v>
      </c>
    </row>
    <row r="148" spans="9:12" s="2" customFormat="1" x14ac:dyDescent="0.35">
      <c r="I148" s="47">
        <f t="shared" si="8"/>
        <v>207723.6202200565</v>
      </c>
      <c r="J148" s="5">
        <f t="shared" si="9"/>
        <v>1324.23807890286</v>
      </c>
      <c r="K148" s="47">
        <f t="shared" si="10"/>
        <v>-1773.7858123854903</v>
      </c>
      <c r="L148" s="47">
        <f t="shared" si="11"/>
        <v>207274.07248657386</v>
      </c>
    </row>
    <row r="149" spans="9:12" s="2" customFormat="1" x14ac:dyDescent="0.35">
      <c r="I149" s="47">
        <f t="shared" si="8"/>
        <v>207274.07248657386</v>
      </c>
      <c r="J149" s="5">
        <f t="shared" si="9"/>
        <v>1321.3722121019082</v>
      </c>
      <c r="K149" s="47">
        <f t="shared" si="10"/>
        <v>-1773.7858123854903</v>
      </c>
      <c r="L149" s="47">
        <f t="shared" si="11"/>
        <v>206821.65888629027</v>
      </c>
    </row>
    <row r="150" spans="9:12" s="2" customFormat="1" x14ac:dyDescent="0.35">
      <c r="I150" s="47">
        <f t="shared" si="8"/>
        <v>206821.65888629027</v>
      </c>
      <c r="J150" s="5">
        <f t="shared" si="9"/>
        <v>1318.4880754001003</v>
      </c>
      <c r="K150" s="47">
        <f t="shared" si="10"/>
        <v>-1773.7858123854903</v>
      </c>
      <c r="L150" s="47">
        <f t="shared" si="11"/>
        <v>206366.36114930487</v>
      </c>
    </row>
    <row r="151" spans="9:12" s="2" customFormat="1" x14ac:dyDescent="0.35">
      <c r="I151" s="47">
        <f t="shared" si="8"/>
        <v>206366.36114930487</v>
      </c>
      <c r="J151" s="5">
        <f t="shared" si="9"/>
        <v>1315.5855523268185</v>
      </c>
      <c r="K151" s="47">
        <f t="shared" si="10"/>
        <v>-1773.7858123854903</v>
      </c>
      <c r="L151" s="47">
        <f t="shared" si="11"/>
        <v>205908.16088924618</v>
      </c>
    </row>
    <row r="152" spans="9:12" s="2" customFormat="1" x14ac:dyDescent="0.35">
      <c r="I152" s="47">
        <f t="shared" si="8"/>
        <v>205908.16088924618</v>
      </c>
      <c r="J152" s="5">
        <f t="shared" si="9"/>
        <v>1312.6645256689444</v>
      </c>
      <c r="K152" s="47">
        <f t="shared" si="10"/>
        <v>-1773.7858123854903</v>
      </c>
      <c r="L152" s="47">
        <f t="shared" si="11"/>
        <v>205447.03960252964</v>
      </c>
    </row>
    <row r="153" spans="9:12" s="2" customFormat="1" x14ac:dyDescent="0.35">
      <c r="I153" s="47">
        <f t="shared" si="8"/>
        <v>205447.03960252964</v>
      </c>
      <c r="J153" s="5">
        <f t="shared" si="9"/>
        <v>1309.7248774661264</v>
      </c>
      <c r="K153" s="47">
        <f t="shared" si="10"/>
        <v>-1773.7858123854903</v>
      </c>
      <c r="L153" s="47">
        <f t="shared" si="11"/>
        <v>204982.97866761027</v>
      </c>
    </row>
    <row r="154" spans="9:12" s="2" customFormat="1" x14ac:dyDescent="0.35">
      <c r="I154" s="47">
        <f t="shared" si="8"/>
        <v>204982.97866761027</v>
      </c>
      <c r="J154" s="5">
        <f t="shared" si="9"/>
        <v>1306.7664890060153</v>
      </c>
      <c r="K154" s="47">
        <f t="shared" si="10"/>
        <v>-1773.7858123854903</v>
      </c>
      <c r="L154" s="47">
        <f t="shared" si="11"/>
        <v>204515.9593442308</v>
      </c>
    </row>
    <row r="155" spans="9:12" s="2" customFormat="1" x14ac:dyDescent="0.35">
      <c r="I155" s="47">
        <f t="shared" si="8"/>
        <v>204515.9593442308</v>
      </c>
      <c r="J155" s="5">
        <f t="shared" si="9"/>
        <v>1303.7892408194712</v>
      </c>
      <c r="K155" s="47">
        <f t="shared" si="10"/>
        <v>-1773.7858123854903</v>
      </c>
      <c r="L155" s="47">
        <f t="shared" si="11"/>
        <v>204045.96277266476</v>
      </c>
    </row>
    <row r="156" spans="9:12" s="2" customFormat="1" x14ac:dyDescent="0.35">
      <c r="I156" s="47">
        <f t="shared" si="8"/>
        <v>204045.96277266476</v>
      </c>
      <c r="J156" s="5">
        <f t="shared" si="9"/>
        <v>1300.7930126757378</v>
      </c>
      <c r="K156" s="47">
        <f t="shared" si="10"/>
        <v>-1773.7858123854903</v>
      </c>
      <c r="L156" s="47">
        <f t="shared" si="11"/>
        <v>203572.969972955</v>
      </c>
    </row>
    <row r="157" spans="9:12" s="2" customFormat="1" x14ac:dyDescent="0.35">
      <c r="I157" s="47">
        <f t="shared" si="8"/>
        <v>203572.969972955</v>
      </c>
      <c r="J157" s="5">
        <f t="shared" si="9"/>
        <v>1297.777683577588</v>
      </c>
      <c r="K157" s="47">
        <f t="shared" si="10"/>
        <v>-1773.7858123854903</v>
      </c>
      <c r="L157" s="47">
        <f t="shared" si="11"/>
        <v>203096.9618441471</v>
      </c>
    </row>
    <row r="158" spans="9:12" s="2" customFormat="1" x14ac:dyDescent="0.35">
      <c r="I158" s="47">
        <f t="shared" si="8"/>
        <v>203096.9618441471</v>
      </c>
      <c r="J158" s="5">
        <f t="shared" si="9"/>
        <v>1294.7431317564376</v>
      </c>
      <c r="K158" s="47">
        <f t="shared" si="10"/>
        <v>-1773.7858123854903</v>
      </c>
      <c r="L158" s="47">
        <f t="shared" si="11"/>
        <v>202617.91916351803</v>
      </c>
    </row>
    <row r="159" spans="9:12" s="2" customFormat="1" x14ac:dyDescent="0.35">
      <c r="I159" s="47">
        <f t="shared" si="8"/>
        <v>202617.91916351803</v>
      </c>
      <c r="J159" s="5">
        <f t="shared" si="9"/>
        <v>1291.6892346674274</v>
      </c>
      <c r="K159" s="47">
        <f t="shared" si="10"/>
        <v>-1773.7858123854903</v>
      </c>
      <c r="L159" s="47">
        <f t="shared" si="11"/>
        <v>202135.82258579996</v>
      </c>
    </row>
    <row r="160" spans="9:12" s="2" customFormat="1" x14ac:dyDescent="0.35">
      <c r="I160" s="47">
        <f t="shared" si="8"/>
        <v>202135.82258579996</v>
      </c>
      <c r="J160" s="5">
        <f t="shared" si="9"/>
        <v>1288.6158689844747</v>
      </c>
      <c r="K160" s="47">
        <f t="shared" si="10"/>
        <v>-1773.7858123854903</v>
      </c>
      <c r="L160" s="47">
        <f t="shared" si="11"/>
        <v>201650.65264239896</v>
      </c>
    </row>
    <row r="161" spans="9:12" s="2" customFormat="1" x14ac:dyDescent="0.35">
      <c r="I161" s="47">
        <f t="shared" si="8"/>
        <v>201650.65264239896</v>
      </c>
      <c r="J161" s="5">
        <f t="shared" si="9"/>
        <v>1285.5229105952933</v>
      </c>
      <c r="K161" s="47">
        <f t="shared" si="10"/>
        <v>-1773.7858123854903</v>
      </c>
      <c r="L161" s="47">
        <f t="shared" si="11"/>
        <v>201162.38974060875</v>
      </c>
    </row>
    <row r="162" spans="9:12" s="2" customFormat="1" x14ac:dyDescent="0.35">
      <c r="I162" s="47">
        <f t="shared" si="8"/>
        <v>201162.38974060875</v>
      </c>
      <c r="J162" s="5">
        <f t="shared" si="9"/>
        <v>1282.4102345963806</v>
      </c>
      <c r="K162" s="47">
        <f t="shared" si="10"/>
        <v>-1773.7858123854903</v>
      </c>
      <c r="L162" s="47">
        <f t="shared" si="11"/>
        <v>200671.01416281963</v>
      </c>
    </row>
    <row r="163" spans="9:12" s="2" customFormat="1" x14ac:dyDescent="0.35">
      <c r="I163" s="47">
        <f t="shared" si="8"/>
        <v>200671.01416281963</v>
      </c>
      <c r="J163" s="5">
        <f t="shared" si="9"/>
        <v>1279.2777152879751</v>
      </c>
      <c r="K163" s="47">
        <f t="shared" si="10"/>
        <v>-1773.7858123854903</v>
      </c>
      <c r="L163" s="47">
        <f t="shared" si="11"/>
        <v>200176.50606572212</v>
      </c>
    </row>
    <row r="164" spans="9:12" s="2" customFormat="1" x14ac:dyDescent="0.35">
      <c r="I164" s="47">
        <f t="shared" si="8"/>
        <v>200176.50606572212</v>
      </c>
      <c r="J164" s="5">
        <f t="shared" si="9"/>
        <v>1276.1252261689783</v>
      </c>
      <c r="K164" s="47">
        <f t="shared" si="10"/>
        <v>-1773.7858123854903</v>
      </c>
      <c r="L164" s="47">
        <f t="shared" si="11"/>
        <v>199678.8454795056</v>
      </c>
    </row>
    <row r="165" spans="9:12" s="2" customFormat="1" x14ac:dyDescent="0.35">
      <c r="I165" s="47">
        <f t="shared" si="8"/>
        <v>199678.8454795056</v>
      </c>
      <c r="J165" s="5">
        <f t="shared" si="9"/>
        <v>1272.9526399318481</v>
      </c>
      <c r="K165" s="47">
        <f t="shared" si="10"/>
        <v>-1773.7858123854903</v>
      </c>
      <c r="L165" s="47">
        <f t="shared" si="11"/>
        <v>199178.01230705195</v>
      </c>
    </row>
    <row r="166" spans="9:12" s="2" customFormat="1" x14ac:dyDescent="0.35">
      <c r="I166" s="47">
        <f t="shared" si="8"/>
        <v>199178.01230705195</v>
      </c>
      <c r="J166" s="5">
        <f t="shared" si="9"/>
        <v>1269.759828457456</v>
      </c>
      <c r="K166" s="47">
        <f t="shared" si="10"/>
        <v>-1773.7858123854903</v>
      </c>
      <c r="L166" s="47">
        <f t="shared" si="11"/>
        <v>198673.98632312391</v>
      </c>
    </row>
    <row r="167" spans="9:12" s="2" customFormat="1" x14ac:dyDescent="0.35">
      <c r="I167" s="47">
        <f t="shared" si="8"/>
        <v>198673.98632312391</v>
      </c>
      <c r="J167" s="5">
        <f t="shared" si="9"/>
        <v>1266.5466628099148</v>
      </c>
      <c r="K167" s="47">
        <f t="shared" si="10"/>
        <v>-1773.7858123854903</v>
      </c>
      <c r="L167" s="47">
        <f t="shared" si="11"/>
        <v>198166.74717354833</v>
      </c>
    </row>
    <row r="168" spans="9:12" s="2" customFormat="1" x14ac:dyDescent="0.35">
      <c r="I168" s="47">
        <f t="shared" si="8"/>
        <v>198166.74717354833</v>
      </c>
      <c r="J168" s="5">
        <f t="shared" si="9"/>
        <v>1263.3130132313704</v>
      </c>
      <c r="K168" s="47">
        <f t="shared" si="10"/>
        <v>-1773.7858123854903</v>
      </c>
      <c r="L168" s="47">
        <f t="shared" si="11"/>
        <v>197656.27437439421</v>
      </c>
    </row>
    <row r="169" spans="9:12" s="2" customFormat="1" x14ac:dyDescent="0.35">
      <c r="I169" s="47">
        <f t="shared" si="8"/>
        <v>197656.27437439421</v>
      </c>
      <c r="J169" s="5">
        <f t="shared" si="9"/>
        <v>1260.058749136763</v>
      </c>
      <c r="K169" s="47">
        <f t="shared" si="10"/>
        <v>-1773.7858123854903</v>
      </c>
      <c r="L169" s="47">
        <f t="shared" si="11"/>
        <v>197142.54731114549</v>
      </c>
    </row>
    <row r="170" spans="9:12" s="2" customFormat="1" x14ac:dyDescent="0.35">
      <c r="I170" s="47">
        <f t="shared" si="8"/>
        <v>197142.54731114549</v>
      </c>
      <c r="J170" s="5">
        <f t="shared" si="9"/>
        <v>1256.7837391085525</v>
      </c>
      <c r="K170" s="47">
        <f t="shared" si="10"/>
        <v>-1773.7858123854903</v>
      </c>
      <c r="L170" s="47">
        <f t="shared" si="11"/>
        <v>196625.54523786856</v>
      </c>
    </row>
    <row r="171" spans="9:12" s="2" customFormat="1" x14ac:dyDescent="0.35">
      <c r="I171" s="47">
        <f t="shared" si="8"/>
        <v>196625.54523786856</v>
      </c>
      <c r="J171" s="5">
        <f t="shared" si="9"/>
        <v>1253.4878508914119</v>
      </c>
      <c r="K171" s="47">
        <f t="shared" si="10"/>
        <v>-1773.7858123854903</v>
      </c>
      <c r="L171" s="47">
        <f t="shared" si="11"/>
        <v>196105.24727637449</v>
      </c>
    </row>
    <row r="172" spans="9:12" s="2" customFormat="1" x14ac:dyDescent="0.35">
      <c r="I172" s="47">
        <f t="shared" si="8"/>
        <v>196105.24727637449</v>
      </c>
      <c r="J172" s="5">
        <f t="shared" si="9"/>
        <v>1250.1709513868873</v>
      </c>
      <c r="K172" s="47">
        <f t="shared" si="10"/>
        <v>-1773.7858123854903</v>
      </c>
      <c r="L172" s="47">
        <f t="shared" si="11"/>
        <v>195581.63241537588</v>
      </c>
    </row>
    <row r="173" spans="9:12" s="2" customFormat="1" x14ac:dyDescent="0.35">
      <c r="I173" s="47">
        <f t="shared" si="8"/>
        <v>195581.63241537588</v>
      </c>
      <c r="J173" s="5">
        <f t="shared" si="9"/>
        <v>1246.8329066480212</v>
      </c>
      <c r="K173" s="47">
        <f t="shared" si="10"/>
        <v>-1773.7858123854903</v>
      </c>
      <c r="L173" s="47">
        <f t="shared" si="11"/>
        <v>195054.6795096384</v>
      </c>
    </row>
    <row r="174" spans="9:12" s="2" customFormat="1" x14ac:dyDescent="0.35">
      <c r="I174" s="47">
        <f t="shared" si="8"/>
        <v>195054.6795096384</v>
      </c>
      <c r="J174" s="5">
        <f t="shared" si="9"/>
        <v>1243.4735818739448</v>
      </c>
      <c r="K174" s="47">
        <f t="shared" si="10"/>
        <v>-1773.7858123854903</v>
      </c>
      <c r="L174" s="47">
        <f t="shared" si="11"/>
        <v>194524.36727912686</v>
      </c>
    </row>
    <row r="175" spans="9:12" s="2" customFormat="1" x14ac:dyDescent="0.35">
      <c r="I175" s="47">
        <f t="shared" si="8"/>
        <v>194524.36727912686</v>
      </c>
      <c r="J175" s="5">
        <f t="shared" si="9"/>
        <v>1240.0928414044336</v>
      </c>
      <c r="K175" s="47">
        <f t="shared" si="10"/>
        <v>-1773.7858123854903</v>
      </c>
      <c r="L175" s="47">
        <f t="shared" si="11"/>
        <v>193990.6743081458</v>
      </c>
    </row>
    <row r="176" spans="9:12" s="2" customFormat="1" x14ac:dyDescent="0.35">
      <c r="I176" s="47">
        <f t="shared" si="8"/>
        <v>193990.6743081458</v>
      </c>
      <c r="J176" s="5">
        <f t="shared" si="9"/>
        <v>1236.6905487144293</v>
      </c>
      <c r="K176" s="47">
        <f t="shared" si="10"/>
        <v>-1773.7858123854903</v>
      </c>
      <c r="L176" s="47">
        <f t="shared" si="11"/>
        <v>193453.57904447473</v>
      </c>
    </row>
    <row r="177" spans="9:12" s="2" customFormat="1" x14ac:dyDescent="0.35">
      <c r="I177" s="47">
        <f t="shared" si="8"/>
        <v>193453.57904447473</v>
      </c>
      <c r="J177" s="5">
        <f t="shared" si="9"/>
        <v>1233.2665664085264</v>
      </c>
      <c r="K177" s="47">
        <f t="shared" si="10"/>
        <v>-1773.7858123854903</v>
      </c>
      <c r="L177" s="47">
        <f t="shared" si="11"/>
        <v>192913.05979849776</v>
      </c>
    </row>
    <row r="178" spans="9:12" s="2" customFormat="1" x14ac:dyDescent="0.35">
      <c r="I178" s="47">
        <f t="shared" si="8"/>
        <v>192913.05979849776</v>
      </c>
      <c r="J178" s="5">
        <f t="shared" si="9"/>
        <v>1229.8207562154232</v>
      </c>
      <c r="K178" s="47">
        <f t="shared" si="10"/>
        <v>-1773.7858123854903</v>
      </c>
      <c r="L178" s="47">
        <f t="shared" si="11"/>
        <v>192369.0947423277</v>
      </c>
    </row>
    <row r="179" spans="9:12" s="2" customFormat="1" x14ac:dyDescent="0.35">
      <c r="I179" s="47">
        <f t="shared" si="8"/>
        <v>192369.0947423277</v>
      </c>
      <c r="J179" s="5">
        <f t="shared" si="9"/>
        <v>1226.352978982339</v>
      </c>
      <c r="K179" s="47">
        <f t="shared" si="10"/>
        <v>-1773.7858123854903</v>
      </c>
      <c r="L179" s="47">
        <f t="shared" si="11"/>
        <v>191821.66190892455</v>
      </c>
    </row>
    <row r="180" spans="9:12" s="2" customFormat="1" x14ac:dyDescent="0.35">
      <c r="I180" s="47">
        <f t="shared" si="8"/>
        <v>191821.66190892455</v>
      </c>
      <c r="J180" s="5">
        <f t="shared" si="9"/>
        <v>1222.8630946693938</v>
      </c>
      <c r="K180" s="47">
        <f t="shared" si="10"/>
        <v>-1773.7858123854903</v>
      </c>
      <c r="L180" s="47">
        <f t="shared" si="11"/>
        <v>191270.73919120844</v>
      </c>
    </row>
    <row r="181" spans="9:12" s="2" customFormat="1" x14ac:dyDescent="0.35">
      <c r="I181" s="47">
        <f t="shared" si="8"/>
        <v>191270.73919120844</v>
      </c>
      <c r="J181" s="5">
        <f t="shared" si="9"/>
        <v>1219.3509623439538</v>
      </c>
      <c r="K181" s="47">
        <f t="shared" si="10"/>
        <v>-1773.7858123854903</v>
      </c>
      <c r="L181" s="47">
        <f t="shared" si="11"/>
        <v>190716.30434116689</v>
      </c>
    </row>
    <row r="182" spans="9:12" s="2" customFormat="1" x14ac:dyDescent="0.35">
      <c r="I182" s="47">
        <f t="shared" si="8"/>
        <v>190716.30434116689</v>
      </c>
      <c r="J182" s="5">
        <f t="shared" si="9"/>
        <v>1215.8164401749389</v>
      </c>
      <c r="K182" s="47">
        <f t="shared" si="10"/>
        <v>-1773.7858123854903</v>
      </c>
      <c r="L182" s="47">
        <f t="shared" si="11"/>
        <v>190158.33496895633</v>
      </c>
    </row>
    <row r="183" spans="9:12" s="2" customFormat="1" x14ac:dyDescent="0.35">
      <c r="I183" s="47">
        <f t="shared" si="8"/>
        <v>190158.33496895633</v>
      </c>
      <c r="J183" s="5">
        <f t="shared" si="9"/>
        <v>1212.2593854270965</v>
      </c>
      <c r="K183" s="47">
        <f t="shared" si="10"/>
        <v>-1773.7858123854903</v>
      </c>
      <c r="L183" s="47">
        <f t="shared" si="11"/>
        <v>189596.80854199795</v>
      </c>
    </row>
    <row r="184" spans="9:12" s="2" customFormat="1" x14ac:dyDescent="0.35">
      <c r="I184" s="47">
        <f t="shared" si="8"/>
        <v>189596.80854199795</v>
      </c>
      <c r="J184" s="5">
        <f t="shared" si="9"/>
        <v>1208.6796544552369</v>
      </c>
      <c r="K184" s="47">
        <f t="shared" si="10"/>
        <v>-1773.7858123854903</v>
      </c>
      <c r="L184" s="47">
        <f t="shared" si="11"/>
        <v>189031.7023840677</v>
      </c>
    </row>
    <row r="185" spans="9:12" s="2" customFormat="1" x14ac:dyDescent="0.35">
      <c r="I185" s="47">
        <f t="shared" si="8"/>
        <v>189031.7023840677</v>
      </c>
      <c r="J185" s="5">
        <f t="shared" si="9"/>
        <v>1205.0771026984314</v>
      </c>
      <c r="K185" s="47">
        <f t="shared" si="10"/>
        <v>-1773.7858123854903</v>
      </c>
      <c r="L185" s="47">
        <f t="shared" si="11"/>
        <v>188462.99367438065</v>
      </c>
    </row>
    <row r="186" spans="9:12" s="2" customFormat="1" x14ac:dyDescent="0.35">
      <c r="I186" s="47">
        <f t="shared" si="8"/>
        <v>188462.99367438065</v>
      </c>
      <c r="J186" s="5">
        <f t="shared" si="9"/>
        <v>1201.4515846741765</v>
      </c>
      <c r="K186" s="47">
        <f t="shared" si="10"/>
        <v>-1773.7858123854903</v>
      </c>
      <c r="L186" s="47">
        <f t="shared" si="11"/>
        <v>187890.65944666934</v>
      </c>
    </row>
    <row r="187" spans="9:12" s="2" customFormat="1" x14ac:dyDescent="0.35">
      <c r="I187" s="47">
        <f t="shared" si="8"/>
        <v>187890.65944666934</v>
      </c>
      <c r="J187" s="5">
        <f t="shared" si="9"/>
        <v>1197.8029539725169</v>
      </c>
      <c r="K187" s="47">
        <f t="shared" si="10"/>
        <v>-1773.7858123854903</v>
      </c>
      <c r="L187" s="47">
        <f t="shared" si="11"/>
        <v>187314.67658825635</v>
      </c>
    </row>
    <row r="188" spans="9:12" s="2" customFormat="1" x14ac:dyDescent="0.35">
      <c r="I188" s="47">
        <f t="shared" si="8"/>
        <v>187314.67658825635</v>
      </c>
      <c r="J188" s="5">
        <f t="shared" si="9"/>
        <v>1194.131063250134</v>
      </c>
      <c r="K188" s="47">
        <f t="shared" si="10"/>
        <v>-1773.7858123854903</v>
      </c>
      <c r="L188" s="47">
        <f t="shared" si="11"/>
        <v>186735.02183912098</v>
      </c>
    </row>
    <row r="189" spans="9:12" s="2" customFormat="1" x14ac:dyDescent="0.35">
      <c r="I189" s="47">
        <f t="shared" si="8"/>
        <v>186735.02183912098</v>
      </c>
      <c r="J189" s="5">
        <f t="shared" si="9"/>
        <v>1190.4357642243961</v>
      </c>
      <c r="K189" s="47">
        <f t="shared" si="10"/>
        <v>-1773.7858123854903</v>
      </c>
      <c r="L189" s="47">
        <f t="shared" si="11"/>
        <v>186151.67179095987</v>
      </c>
    </row>
    <row r="190" spans="9:12" s="2" customFormat="1" x14ac:dyDescent="0.35">
      <c r="I190" s="47">
        <f t="shared" si="8"/>
        <v>186151.67179095987</v>
      </c>
      <c r="J190" s="5">
        <f t="shared" si="9"/>
        <v>1186.716907667369</v>
      </c>
      <c r="K190" s="47">
        <f t="shared" si="10"/>
        <v>-1773.7858123854903</v>
      </c>
      <c r="L190" s="47">
        <f t="shared" si="11"/>
        <v>185564.60288624174</v>
      </c>
    </row>
    <row r="191" spans="9:12" s="2" customFormat="1" x14ac:dyDescent="0.35">
      <c r="I191" s="47">
        <f t="shared" si="8"/>
        <v>185564.60288624174</v>
      </c>
      <c r="J191" s="5">
        <f t="shared" si="9"/>
        <v>1182.974343399791</v>
      </c>
      <c r="K191" s="47">
        <f t="shared" si="10"/>
        <v>-1773.7858123854903</v>
      </c>
      <c r="L191" s="47">
        <f t="shared" si="11"/>
        <v>184973.79141725603</v>
      </c>
    </row>
    <row r="192" spans="9:12" s="2" customFormat="1" x14ac:dyDescent="0.35">
      <c r="I192" s="47">
        <f t="shared" si="8"/>
        <v>184973.79141725603</v>
      </c>
      <c r="J192" s="5">
        <f t="shared" si="9"/>
        <v>1179.207920285007</v>
      </c>
      <c r="K192" s="47">
        <f t="shared" si="10"/>
        <v>-1773.7858123854903</v>
      </c>
      <c r="L192" s="47">
        <f t="shared" si="11"/>
        <v>184379.21352515553</v>
      </c>
    </row>
    <row r="193" spans="9:12" s="2" customFormat="1" x14ac:dyDescent="0.35">
      <c r="I193" s="47">
        <f t="shared" si="8"/>
        <v>184379.21352515553</v>
      </c>
      <c r="J193" s="5">
        <f t="shared" si="9"/>
        <v>1175.4174862228665</v>
      </c>
      <c r="K193" s="47">
        <f t="shared" si="10"/>
        <v>-1773.7858123854903</v>
      </c>
      <c r="L193" s="47">
        <f t="shared" si="11"/>
        <v>183780.8451989929</v>
      </c>
    </row>
    <row r="194" spans="9:12" s="2" customFormat="1" x14ac:dyDescent="0.35">
      <c r="I194" s="47">
        <f t="shared" si="8"/>
        <v>183780.8451989929</v>
      </c>
      <c r="J194" s="5">
        <f t="shared" si="9"/>
        <v>1171.6028881435798</v>
      </c>
      <c r="K194" s="47">
        <f t="shared" si="10"/>
        <v>-1773.7858123854903</v>
      </c>
      <c r="L194" s="47">
        <f t="shared" si="11"/>
        <v>183178.662274751</v>
      </c>
    </row>
    <row r="195" spans="9:12" s="2" customFormat="1" x14ac:dyDescent="0.35">
      <c r="I195" s="47">
        <f t="shared" si="8"/>
        <v>183178.662274751</v>
      </c>
      <c r="J195" s="5">
        <f t="shared" si="9"/>
        <v>1167.7639720015375</v>
      </c>
      <c r="K195" s="47">
        <f t="shared" si="10"/>
        <v>-1773.7858123854903</v>
      </c>
      <c r="L195" s="47">
        <f t="shared" si="11"/>
        <v>182572.64043436703</v>
      </c>
    </row>
    <row r="196" spans="9:12" s="2" customFormat="1" x14ac:dyDescent="0.35">
      <c r="I196" s="47">
        <f t="shared" si="8"/>
        <v>182572.64043436703</v>
      </c>
      <c r="J196" s="5">
        <f t="shared" si="9"/>
        <v>1163.9005827690896</v>
      </c>
      <c r="K196" s="47">
        <f t="shared" si="10"/>
        <v>-1773.7858123854903</v>
      </c>
      <c r="L196" s="47">
        <f t="shared" si="11"/>
        <v>181962.75520475063</v>
      </c>
    </row>
    <row r="197" spans="9:12" s="2" customFormat="1" x14ac:dyDescent="0.35">
      <c r="I197" s="47">
        <f t="shared" si="8"/>
        <v>181962.75520475063</v>
      </c>
      <c r="J197" s="5">
        <f t="shared" si="9"/>
        <v>1160.0125644302852</v>
      </c>
      <c r="K197" s="47">
        <f t="shared" si="10"/>
        <v>-1773.7858123854903</v>
      </c>
      <c r="L197" s="47">
        <f t="shared" si="11"/>
        <v>181348.98195679541</v>
      </c>
    </row>
    <row r="198" spans="9:12" s="2" customFormat="1" x14ac:dyDescent="0.35">
      <c r="I198" s="47">
        <f t="shared" ref="I198:I261" si="12">L197</f>
        <v>181348.98195679541</v>
      </c>
      <c r="J198" s="5">
        <f t="shared" ref="J198:J261" si="13">$G$6*I198</f>
        <v>1156.0997599745706</v>
      </c>
      <c r="K198" s="47">
        <f t="shared" ref="K198:K261" si="14">$G$7</f>
        <v>-1773.7858123854903</v>
      </c>
      <c r="L198" s="47">
        <f t="shared" ref="L198:L261" si="15">I198+J198+K198</f>
        <v>180731.29590438449</v>
      </c>
    </row>
    <row r="199" spans="9:12" s="2" customFormat="1" x14ac:dyDescent="0.35">
      <c r="I199" s="47">
        <f t="shared" si="12"/>
        <v>180731.29590438449</v>
      </c>
      <c r="J199" s="5">
        <f t="shared" si="13"/>
        <v>1152.162011390451</v>
      </c>
      <c r="K199" s="47">
        <f t="shared" si="14"/>
        <v>-1773.7858123854903</v>
      </c>
      <c r="L199" s="47">
        <f t="shared" si="15"/>
        <v>180109.67210338946</v>
      </c>
    </row>
    <row r="200" spans="9:12" s="2" customFormat="1" x14ac:dyDescent="0.35">
      <c r="I200" s="47">
        <f t="shared" si="12"/>
        <v>180109.67210338946</v>
      </c>
      <c r="J200" s="5">
        <f t="shared" si="13"/>
        <v>1148.1991596591076</v>
      </c>
      <c r="K200" s="47">
        <f t="shared" si="14"/>
        <v>-1773.7858123854903</v>
      </c>
      <c r="L200" s="47">
        <f t="shared" si="15"/>
        <v>179484.08545066306</v>
      </c>
    </row>
    <row r="201" spans="9:12" s="2" customFormat="1" x14ac:dyDescent="0.35">
      <c r="I201" s="47">
        <f t="shared" si="12"/>
        <v>179484.08545066306</v>
      </c>
      <c r="J201" s="5">
        <f t="shared" si="13"/>
        <v>1144.211044747977</v>
      </c>
      <c r="K201" s="47">
        <f t="shared" si="14"/>
        <v>-1773.7858123854903</v>
      </c>
      <c r="L201" s="47">
        <f t="shared" si="15"/>
        <v>178854.51068302552</v>
      </c>
    </row>
    <row r="202" spans="9:12" s="2" customFormat="1" x14ac:dyDescent="0.35">
      <c r="I202" s="47">
        <f t="shared" si="12"/>
        <v>178854.51068302552</v>
      </c>
      <c r="J202" s="5">
        <f t="shared" si="13"/>
        <v>1140.1975056042877</v>
      </c>
      <c r="K202" s="47">
        <f t="shared" si="14"/>
        <v>-1773.7858123854903</v>
      </c>
      <c r="L202" s="47">
        <f t="shared" si="15"/>
        <v>178220.92237624433</v>
      </c>
    </row>
    <row r="203" spans="9:12" s="2" customFormat="1" x14ac:dyDescent="0.35">
      <c r="I203" s="47">
        <f t="shared" si="12"/>
        <v>178220.92237624433</v>
      </c>
      <c r="J203" s="5">
        <f t="shared" si="13"/>
        <v>1136.1583801485576</v>
      </c>
      <c r="K203" s="47">
        <f t="shared" si="14"/>
        <v>-1773.7858123854903</v>
      </c>
      <c r="L203" s="47">
        <f t="shared" si="15"/>
        <v>177583.29494400739</v>
      </c>
    </row>
    <row r="204" spans="9:12" s="2" customFormat="1" x14ac:dyDescent="0.35">
      <c r="I204" s="47">
        <f t="shared" si="12"/>
        <v>177583.29494400739</v>
      </c>
      <c r="J204" s="5">
        <f t="shared" si="13"/>
        <v>1132.093505268047</v>
      </c>
      <c r="K204" s="47">
        <f t="shared" si="14"/>
        <v>-1773.7858123854903</v>
      </c>
      <c r="L204" s="47">
        <f t="shared" si="15"/>
        <v>176941.60263688993</v>
      </c>
    </row>
    <row r="205" spans="9:12" s="2" customFormat="1" x14ac:dyDescent="0.35">
      <c r="I205" s="47">
        <f t="shared" si="12"/>
        <v>176941.60263688993</v>
      </c>
      <c r="J205" s="5">
        <f t="shared" si="13"/>
        <v>1128.0027168101733</v>
      </c>
      <c r="K205" s="47">
        <f t="shared" si="14"/>
        <v>-1773.7858123854903</v>
      </c>
      <c r="L205" s="47">
        <f t="shared" si="15"/>
        <v>176295.81954131462</v>
      </c>
    </row>
    <row r="206" spans="9:12" s="2" customFormat="1" x14ac:dyDescent="0.35">
      <c r="I206" s="47">
        <f t="shared" si="12"/>
        <v>176295.81954131462</v>
      </c>
      <c r="J206" s="5">
        <f t="shared" si="13"/>
        <v>1123.8858495758807</v>
      </c>
      <c r="K206" s="47">
        <f t="shared" si="14"/>
        <v>-1773.7858123854903</v>
      </c>
      <c r="L206" s="47">
        <f t="shared" si="15"/>
        <v>175645.91957850501</v>
      </c>
    </row>
    <row r="207" spans="9:12" s="2" customFormat="1" x14ac:dyDescent="0.35">
      <c r="I207" s="47">
        <f t="shared" si="12"/>
        <v>175645.91957850501</v>
      </c>
      <c r="J207" s="5">
        <f t="shared" si="13"/>
        <v>1119.7427373129694</v>
      </c>
      <c r="K207" s="47">
        <f t="shared" si="14"/>
        <v>-1773.7858123854903</v>
      </c>
      <c r="L207" s="47">
        <f t="shared" si="15"/>
        <v>174991.87650343249</v>
      </c>
    </row>
    <row r="208" spans="9:12" s="2" customFormat="1" x14ac:dyDescent="0.35">
      <c r="I208" s="47">
        <f t="shared" si="12"/>
        <v>174991.87650343249</v>
      </c>
      <c r="J208" s="5">
        <f t="shared" si="13"/>
        <v>1115.573212709382</v>
      </c>
      <c r="K208" s="47">
        <f t="shared" si="14"/>
        <v>-1773.7858123854903</v>
      </c>
      <c r="L208" s="47">
        <f t="shared" si="15"/>
        <v>174333.66390375639</v>
      </c>
    </row>
    <row r="209" spans="9:12" s="2" customFormat="1" x14ac:dyDescent="0.35">
      <c r="I209" s="47">
        <f t="shared" si="12"/>
        <v>174333.66390375639</v>
      </c>
      <c r="J209" s="5">
        <f t="shared" si="13"/>
        <v>1111.3771073864468</v>
      </c>
      <c r="K209" s="47">
        <f t="shared" si="14"/>
        <v>-1773.7858123854903</v>
      </c>
      <c r="L209" s="47">
        <f t="shared" si="15"/>
        <v>173671.25519875734</v>
      </c>
    </row>
    <row r="210" spans="9:12" s="2" customFormat="1" x14ac:dyDescent="0.35">
      <c r="I210" s="47">
        <f t="shared" si="12"/>
        <v>173671.25519875734</v>
      </c>
      <c r="J210" s="5">
        <f t="shared" si="13"/>
        <v>1107.154251892078</v>
      </c>
      <c r="K210" s="47">
        <f t="shared" si="14"/>
        <v>-1773.7858123854903</v>
      </c>
      <c r="L210" s="47">
        <f t="shared" si="15"/>
        <v>173004.62363826393</v>
      </c>
    </row>
    <row r="211" spans="9:12" s="2" customFormat="1" x14ac:dyDescent="0.35">
      <c r="I211" s="47">
        <f t="shared" si="12"/>
        <v>173004.62363826393</v>
      </c>
      <c r="J211" s="5">
        <f t="shared" si="13"/>
        <v>1102.9044756939325</v>
      </c>
      <c r="K211" s="47">
        <f t="shared" si="14"/>
        <v>-1773.7858123854903</v>
      </c>
      <c r="L211" s="47">
        <f t="shared" si="15"/>
        <v>172333.74230157238</v>
      </c>
    </row>
    <row r="212" spans="9:12" s="2" customFormat="1" x14ac:dyDescent="0.35">
      <c r="I212" s="47">
        <f t="shared" si="12"/>
        <v>172333.74230157238</v>
      </c>
      <c r="J212" s="5">
        <f t="shared" si="13"/>
        <v>1098.6276071725238</v>
      </c>
      <c r="K212" s="47">
        <f t="shared" si="14"/>
        <v>-1773.7858123854903</v>
      </c>
      <c r="L212" s="47">
        <f t="shared" si="15"/>
        <v>171658.58409635941</v>
      </c>
    </row>
    <row r="213" spans="9:12" s="2" customFormat="1" x14ac:dyDescent="0.35">
      <c r="I213" s="47">
        <f t="shared" si="12"/>
        <v>171658.58409635941</v>
      </c>
      <c r="J213" s="5">
        <f t="shared" si="13"/>
        <v>1094.3234736142911</v>
      </c>
      <c r="K213" s="47">
        <f t="shared" si="14"/>
        <v>-1773.7858123854903</v>
      </c>
      <c r="L213" s="47">
        <f t="shared" si="15"/>
        <v>170979.1217575882</v>
      </c>
    </row>
    <row r="214" spans="9:12" s="2" customFormat="1" x14ac:dyDescent="0.35">
      <c r="I214" s="47">
        <f t="shared" si="12"/>
        <v>170979.1217575882</v>
      </c>
      <c r="J214" s="5">
        <f t="shared" si="13"/>
        <v>1089.9919012046248</v>
      </c>
      <c r="K214" s="47">
        <f t="shared" si="14"/>
        <v>-1773.7858123854903</v>
      </c>
      <c r="L214" s="47">
        <f t="shared" si="15"/>
        <v>170295.32784640734</v>
      </c>
    </row>
    <row r="215" spans="9:12" s="2" customFormat="1" x14ac:dyDescent="0.35">
      <c r="I215" s="47">
        <f t="shared" si="12"/>
        <v>170295.32784640734</v>
      </c>
      <c r="J215" s="5">
        <f t="shared" si="13"/>
        <v>1085.6327150208467</v>
      </c>
      <c r="K215" s="47">
        <f t="shared" si="14"/>
        <v>-1773.7858123854903</v>
      </c>
      <c r="L215" s="47">
        <f t="shared" si="15"/>
        <v>169607.17474904269</v>
      </c>
    </row>
    <row r="216" spans="9:12" s="2" customFormat="1" x14ac:dyDescent="0.35">
      <c r="I216" s="47">
        <f t="shared" si="12"/>
        <v>169607.17474904269</v>
      </c>
      <c r="J216" s="5">
        <f t="shared" si="13"/>
        <v>1081.245739025147</v>
      </c>
      <c r="K216" s="47">
        <f t="shared" si="14"/>
        <v>-1773.7858123854903</v>
      </c>
      <c r="L216" s="47">
        <f t="shared" si="15"/>
        <v>168914.63467568235</v>
      </c>
    </row>
    <row r="217" spans="9:12" s="2" customFormat="1" x14ac:dyDescent="0.35">
      <c r="I217" s="47">
        <f t="shared" si="12"/>
        <v>168914.63467568235</v>
      </c>
      <c r="J217" s="5">
        <f t="shared" si="13"/>
        <v>1076.8307960574748</v>
      </c>
      <c r="K217" s="47">
        <f t="shared" si="14"/>
        <v>-1773.7858123854903</v>
      </c>
      <c r="L217" s="47">
        <f t="shared" si="15"/>
        <v>168217.67965935433</v>
      </c>
    </row>
    <row r="218" spans="9:12" s="2" customFormat="1" x14ac:dyDescent="0.35">
      <c r="I218" s="47">
        <f t="shared" si="12"/>
        <v>168217.67965935433</v>
      </c>
      <c r="J218" s="5">
        <f t="shared" si="13"/>
        <v>1072.3877078283838</v>
      </c>
      <c r="K218" s="47">
        <f t="shared" si="14"/>
        <v>-1773.7858123854903</v>
      </c>
      <c r="L218" s="47">
        <f t="shared" si="15"/>
        <v>167516.2815547972</v>
      </c>
    </row>
    <row r="219" spans="9:12" s="2" customFormat="1" x14ac:dyDescent="0.35">
      <c r="I219" s="47">
        <f t="shared" si="12"/>
        <v>167516.2815547972</v>
      </c>
      <c r="J219" s="5">
        <f t="shared" si="13"/>
        <v>1067.916294911832</v>
      </c>
      <c r="K219" s="47">
        <f t="shared" si="14"/>
        <v>-1773.7858123854903</v>
      </c>
      <c r="L219" s="47">
        <f t="shared" si="15"/>
        <v>166810.41203732352</v>
      </c>
    </row>
    <row r="220" spans="9:12" s="2" customFormat="1" x14ac:dyDescent="0.35">
      <c r="I220" s="47">
        <f t="shared" si="12"/>
        <v>166810.41203732352</v>
      </c>
      <c r="J220" s="5">
        <f t="shared" si="13"/>
        <v>1063.4163767379373</v>
      </c>
      <c r="K220" s="47">
        <f t="shared" si="14"/>
        <v>-1773.7858123854903</v>
      </c>
      <c r="L220" s="47">
        <f t="shared" si="15"/>
        <v>166100.04260167596</v>
      </c>
    </row>
    <row r="221" spans="9:12" s="2" customFormat="1" x14ac:dyDescent="0.35">
      <c r="I221" s="47">
        <f t="shared" si="12"/>
        <v>166100.04260167596</v>
      </c>
      <c r="J221" s="5">
        <f t="shared" si="13"/>
        <v>1058.8877715856843</v>
      </c>
      <c r="K221" s="47">
        <f t="shared" si="14"/>
        <v>-1773.7858123854903</v>
      </c>
      <c r="L221" s="47">
        <f t="shared" si="15"/>
        <v>165385.14456087616</v>
      </c>
    </row>
    <row r="222" spans="9:12" s="2" customFormat="1" x14ac:dyDescent="0.35">
      <c r="I222" s="47">
        <f t="shared" si="12"/>
        <v>165385.14456087616</v>
      </c>
      <c r="J222" s="5">
        <f t="shared" si="13"/>
        <v>1054.3302965755854</v>
      </c>
      <c r="K222" s="47">
        <f t="shared" si="14"/>
        <v>-1773.7858123854903</v>
      </c>
      <c r="L222" s="47">
        <f t="shared" si="15"/>
        <v>164665.68904506625</v>
      </c>
    </row>
    <row r="223" spans="9:12" s="2" customFormat="1" x14ac:dyDescent="0.35">
      <c r="I223" s="47">
        <f t="shared" si="12"/>
        <v>164665.68904506625</v>
      </c>
      <c r="J223" s="5">
        <f t="shared" si="13"/>
        <v>1049.7437676622972</v>
      </c>
      <c r="K223" s="47">
        <f t="shared" si="14"/>
        <v>-1773.7858123854903</v>
      </c>
      <c r="L223" s="47">
        <f t="shared" si="15"/>
        <v>163941.64700034304</v>
      </c>
    </row>
    <row r="224" spans="9:12" s="2" customFormat="1" x14ac:dyDescent="0.35">
      <c r="I224" s="47">
        <f t="shared" si="12"/>
        <v>163941.64700034304</v>
      </c>
      <c r="J224" s="5">
        <f t="shared" si="13"/>
        <v>1045.1279996271869</v>
      </c>
      <c r="K224" s="47">
        <f t="shared" si="14"/>
        <v>-1773.7858123854903</v>
      </c>
      <c r="L224" s="47">
        <f t="shared" si="15"/>
        <v>163212.98918758472</v>
      </c>
    </row>
    <row r="225" spans="9:12" s="2" customFormat="1" x14ac:dyDescent="0.35">
      <c r="I225" s="47">
        <f t="shared" si="12"/>
        <v>163212.98918758472</v>
      </c>
      <c r="J225" s="5">
        <f t="shared" si="13"/>
        <v>1040.4828060708526</v>
      </c>
      <c r="K225" s="47">
        <f t="shared" si="14"/>
        <v>-1773.7858123854903</v>
      </c>
      <c r="L225" s="47">
        <f t="shared" si="15"/>
        <v>162479.68618127008</v>
      </c>
    </row>
    <row r="226" spans="9:12" s="2" customFormat="1" x14ac:dyDescent="0.35">
      <c r="I226" s="47">
        <f t="shared" si="12"/>
        <v>162479.68618127008</v>
      </c>
      <c r="J226" s="5">
        <f t="shared" si="13"/>
        <v>1035.8079994055968</v>
      </c>
      <c r="K226" s="47">
        <f t="shared" si="14"/>
        <v>-1773.7858123854903</v>
      </c>
      <c r="L226" s="47">
        <f t="shared" si="15"/>
        <v>161741.70836829019</v>
      </c>
    </row>
    <row r="227" spans="9:12" s="2" customFormat="1" x14ac:dyDescent="0.35">
      <c r="I227" s="47">
        <f t="shared" si="12"/>
        <v>161741.70836829019</v>
      </c>
      <c r="J227" s="5">
        <f t="shared" si="13"/>
        <v>1031.1033908478498</v>
      </c>
      <c r="K227" s="47">
        <f t="shared" si="14"/>
        <v>-1773.7858123854903</v>
      </c>
      <c r="L227" s="47">
        <f t="shared" si="15"/>
        <v>160999.02594675255</v>
      </c>
    </row>
    <row r="228" spans="9:12" s="2" customFormat="1" x14ac:dyDescent="0.35">
      <c r="I228" s="47">
        <f t="shared" si="12"/>
        <v>160999.02594675255</v>
      </c>
      <c r="J228" s="5">
        <f t="shared" si="13"/>
        <v>1026.3687904105475</v>
      </c>
      <c r="K228" s="47">
        <f t="shared" si="14"/>
        <v>-1773.7858123854903</v>
      </c>
      <c r="L228" s="47">
        <f t="shared" si="15"/>
        <v>160251.6089247776</v>
      </c>
    </row>
    <row r="229" spans="9:12" s="2" customFormat="1" x14ac:dyDescent="0.35">
      <c r="I229" s="47">
        <f t="shared" si="12"/>
        <v>160251.6089247776</v>
      </c>
      <c r="J229" s="5">
        <f t="shared" si="13"/>
        <v>1021.6040068954571</v>
      </c>
      <c r="K229" s="47">
        <f t="shared" si="14"/>
        <v>-1773.7858123854903</v>
      </c>
      <c r="L229" s="47">
        <f t="shared" si="15"/>
        <v>159499.42711928755</v>
      </c>
    </row>
    <row r="230" spans="9:12" s="2" customFormat="1" x14ac:dyDescent="0.35">
      <c r="I230" s="47">
        <f t="shared" si="12"/>
        <v>159499.42711928755</v>
      </c>
      <c r="J230" s="5">
        <f t="shared" si="13"/>
        <v>1016.808847885458</v>
      </c>
      <c r="K230" s="47">
        <f t="shared" si="14"/>
        <v>-1773.7858123854903</v>
      </c>
      <c r="L230" s="47">
        <f t="shared" si="15"/>
        <v>158742.45015478751</v>
      </c>
    </row>
    <row r="231" spans="9:12" s="2" customFormat="1" x14ac:dyDescent="0.35">
      <c r="I231" s="47">
        <f t="shared" si="12"/>
        <v>158742.45015478751</v>
      </c>
      <c r="J231" s="5">
        <f t="shared" si="13"/>
        <v>1011.9831197367703</v>
      </c>
      <c r="K231" s="47">
        <f t="shared" si="14"/>
        <v>-1773.7858123854903</v>
      </c>
      <c r="L231" s="47">
        <f t="shared" si="15"/>
        <v>157980.64746213879</v>
      </c>
    </row>
    <row r="232" spans="9:12" s="2" customFormat="1" x14ac:dyDescent="0.35">
      <c r="I232" s="47">
        <f t="shared" si="12"/>
        <v>157980.64746213879</v>
      </c>
      <c r="J232" s="5">
        <f t="shared" si="13"/>
        <v>1007.1266275711347</v>
      </c>
      <c r="K232" s="47">
        <f t="shared" si="14"/>
        <v>-1773.7858123854903</v>
      </c>
      <c r="L232" s="47">
        <f t="shared" si="15"/>
        <v>157213.98827732442</v>
      </c>
    </row>
    <row r="233" spans="9:12" s="2" customFormat="1" x14ac:dyDescent="0.35">
      <c r="I233" s="47">
        <f t="shared" si="12"/>
        <v>157213.98827732442</v>
      </c>
      <c r="J233" s="5">
        <f t="shared" si="13"/>
        <v>1002.2391752679431</v>
      </c>
      <c r="K233" s="47">
        <f t="shared" si="14"/>
        <v>-1773.7858123854903</v>
      </c>
      <c r="L233" s="47">
        <f t="shared" si="15"/>
        <v>156442.44164020687</v>
      </c>
    </row>
    <row r="234" spans="9:12" s="2" customFormat="1" x14ac:dyDescent="0.35">
      <c r="I234" s="47">
        <f t="shared" si="12"/>
        <v>156442.44164020687</v>
      </c>
      <c r="J234" s="5">
        <f t="shared" si="13"/>
        <v>997.32056545631872</v>
      </c>
      <c r="K234" s="47">
        <f t="shared" si="14"/>
        <v>-1773.7858123854903</v>
      </c>
      <c r="L234" s="47">
        <f t="shared" si="15"/>
        <v>155665.9763932777</v>
      </c>
    </row>
    <row r="235" spans="9:12" s="2" customFormat="1" x14ac:dyDescent="0.35">
      <c r="I235" s="47">
        <f t="shared" si="12"/>
        <v>155665.9763932777</v>
      </c>
      <c r="J235" s="5">
        <f t="shared" si="13"/>
        <v>992.37059950714524</v>
      </c>
      <c r="K235" s="47">
        <f t="shared" si="14"/>
        <v>-1773.7858123854903</v>
      </c>
      <c r="L235" s="47">
        <f t="shared" si="15"/>
        <v>154884.56118039935</v>
      </c>
    </row>
    <row r="236" spans="9:12" s="2" customFormat="1" x14ac:dyDescent="0.35">
      <c r="I236" s="47">
        <f t="shared" si="12"/>
        <v>154884.56118039935</v>
      </c>
      <c r="J236" s="5">
        <f t="shared" si="13"/>
        <v>987.38907752504576</v>
      </c>
      <c r="K236" s="47">
        <f t="shared" si="14"/>
        <v>-1773.7858123854903</v>
      </c>
      <c r="L236" s="47">
        <f t="shared" si="15"/>
        <v>154098.16444553889</v>
      </c>
    </row>
    <row r="237" spans="9:12" s="2" customFormat="1" x14ac:dyDescent="0.35">
      <c r="I237" s="47">
        <f t="shared" si="12"/>
        <v>154098.16444553889</v>
      </c>
      <c r="J237" s="5">
        <f t="shared" si="13"/>
        <v>982.37579834031033</v>
      </c>
      <c r="K237" s="47">
        <f t="shared" si="14"/>
        <v>-1773.7858123854903</v>
      </c>
      <c r="L237" s="47">
        <f t="shared" si="15"/>
        <v>153306.7544314937</v>
      </c>
    </row>
    <row r="238" spans="9:12" s="2" customFormat="1" x14ac:dyDescent="0.35">
      <c r="I238" s="47">
        <f t="shared" si="12"/>
        <v>153306.7544314937</v>
      </c>
      <c r="J238" s="5">
        <f t="shared" si="13"/>
        <v>977.33055950077221</v>
      </c>
      <c r="K238" s="47">
        <f t="shared" si="14"/>
        <v>-1773.7858123854903</v>
      </c>
      <c r="L238" s="47">
        <f t="shared" si="15"/>
        <v>152510.29917860898</v>
      </c>
    </row>
    <row r="239" spans="9:12" s="2" customFormat="1" x14ac:dyDescent="0.35">
      <c r="I239" s="47">
        <f t="shared" si="12"/>
        <v>152510.29917860898</v>
      </c>
      <c r="J239" s="5">
        <f t="shared" si="13"/>
        <v>972.25315726363226</v>
      </c>
      <c r="K239" s="47">
        <f t="shared" si="14"/>
        <v>-1773.7858123854903</v>
      </c>
      <c r="L239" s="47">
        <f t="shared" si="15"/>
        <v>151708.76652348711</v>
      </c>
    </row>
    <row r="240" spans="9:12" s="2" customFormat="1" x14ac:dyDescent="0.35">
      <c r="I240" s="47">
        <f t="shared" si="12"/>
        <v>151708.76652348711</v>
      </c>
      <c r="J240" s="5">
        <f t="shared" si="13"/>
        <v>967.14338658723022</v>
      </c>
      <c r="K240" s="47">
        <f t="shared" si="14"/>
        <v>-1773.7858123854903</v>
      </c>
      <c r="L240" s="47">
        <f t="shared" si="15"/>
        <v>150902.12409768885</v>
      </c>
    </row>
    <row r="241" spans="9:12" s="2" customFormat="1" x14ac:dyDescent="0.35">
      <c r="I241" s="47">
        <f t="shared" si="12"/>
        <v>150902.12409768885</v>
      </c>
      <c r="J241" s="5">
        <f t="shared" si="13"/>
        <v>962.00104112276631</v>
      </c>
      <c r="K241" s="47">
        <f t="shared" si="14"/>
        <v>-1773.7858123854903</v>
      </c>
      <c r="L241" s="47">
        <f t="shared" si="15"/>
        <v>150090.33932642612</v>
      </c>
    </row>
    <row r="242" spans="9:12" s="2" customFormat="1" x14ac:dyDescent="0.35">
      <c r="I242" s="47">
        <f t="shared" si="12"/>
        <v>150090.33932642612</v>
      </c>
      <c r="J242" s="5">
        <f t="shared" si="13"/>
        <v>956.82591320596646</v>
      </c>
      <c r="K242" s="47">
        <f t="shared" si="14"/>
        <v>-1773.7858123854903</v>
      </c>
      <c r="L242" s="47">
        <f t="shared" si="15"/>
        <v>149273.3794272466</v>
      </c>
    </row>
    <row r="243" spans="9:12" s="2" customFormat="1" x14ac:dyDescent="0.35">
      <c r="I243" s="47">
        <f t="shared" si="12"/>
        <v>149273.3794272466</v>
      </c>
      <c r="J243" s="5">
        <f t="shared" si="13"/>
        <v>951.61779384869703</v>
      </c>
      <c r="K243" s="47">
        <f t="shared" si="14"/>
        <v>-1773.7858123854903</v>
      </c>
      <c r="L243" s="47">
        <f t="shared" si="15"/>
        <v>148451.21140870982</v>
      </c>
    </row>
    <row r="244" spans="9:12" s="2" customFormat="1" x14ac:dyDescent="0.35">
      <c r="I244" s="47">
        <f t="shared" si="12"/>
        <v>148451.21140870982</v>
      </c>
      <c r="J244" s="5">
        <f t="shared" si="13"/>
        <v>946.37647273052505</v>
      </c>
      <c r="K244" s="47">
        <f t="shared" si="14"/>
        <v>-1773.7858123854903</v>
      </c>
      <c r="L244" s="47">
        <f t="shared" si="15"/>
        <v>147623.80206905486</v>
      </c>
    </row>
    <row r="245" spans="9:12" s="2" customFormat="1" x14ac:dyDescent="0.35">
      <c r="I245" s="47">
        <f t="shared" si="12"/>
        <v>147623.80206905486</v>
      </c>
      <c r="J245" s="5">
        <f t="shared" si="13"/>
        <v>941.10173819022464</v>
      </c>
      <c r="K245" s="47">
        <f t="shared" si="14"/>
        <v>-1773.7858123854903</v>
      </c>
      <c r="L245" s="47">
        <f t="shared" si="15"/>
        <v>146791.11799485958</v>
      </c>
    </row>
    <row r="246" spans="9:12" s="2" customFormat="1" x14ac:dyDescent="0.35">
      <c r="I246" s="47">
        <f t="shared" si="12"/>
        <v>146791.11799485958</v>
      </c>
      <c r="J246" s="5">
        <f t="shared" si="13"/>
        <v>935.79337721722982</v>
      </c>
      <c r="K246" s="47">
        <f t="shared" si="14"/>
        <v>-1773.7858123854903</v>
      </c>
      <c r="L246" s="47">
        <f t="shared" si="15"/>
        <v>145953.12555969131</v>
      </c>
    </row>
    <row r="247" spans="9:12" s="2" customFormat="1" x14ac:dyDescent="0.35">
      <c r="I247" s="47">
        <f t="shared" si="12"/>
        <v>145953.12555969131</v>
      </c>
      <c r="J247" s="5">
        <f t="shared" si="13"/>
        <v>930.45117544303207</v>
      </c>
      <c r="K247" s="47">
        <f t="shared" si="14"/>
        <v>-1773.7858123854903</v>
      </c>
      <c r="L247" s="47">
        <f t="shared" si="15"/>
        <v>145109.79092274886</v>
      </c>
    </row>
    <row r="248" spans="9:12" s="2" customFormat="1" x14ac:dyDescent="0.35">
      <c r="I248" s="47">
        <f t="shared" si="12"/>
        <v>145109.79092274886</v>
      </c>
      <c r="J248" s="5">
        <f t="shared" si="13"/>
        <v>925.07491713252386</v>
      </c>
      <c r="K248" s="47">
        <f t="shared" si="14"/>
        <v>-1773.7858123854903</v>
      </c>
      <c r="L248" s="47">
        <f t="shared" si="15"/>
        <v>144261.08002749589</v>
      </c>
    </row>
    <row r="249" spans="9:12" s="2" customFormat="1" x14ac:dyDescent="0.35">
      <c r="I249" s="47">
        <f t="shared" si="12"/>
        <v>144261.08002749589</v>
      </c>
      <c r="J249" s="5">
        <f t="shared" si="13"/>
        <v>919.66438517528627</v>
      </c>
      <c r="K249" s="47">
        <f t="shared" si="14"/>
        <v>-1773.7858123854903</v>
      </c>
      <c r="L249" s="47">
        <f t="shared" si="15"/>
        <v>143406.95860028567</v>
      </c>
    </row>
    <row r="250" spans="9:12" s="2" customFormat="1" x14ac:dyDescent="0.35">
      <c r="I250" s="47">
        <f t="shared" si="12"/>
        <v>143406.95860028567</v>
      </c>
      <c r="J250" s="5">
        <f t="shared" si="13"/>
        <v>914.21936107682109</v>
      </c>
      <c r="K250" s="47">
        <f t="shared" si="14"/>
        <v>-1773.7858123854903</v>
      </c>
      <c r="L250" s="47">
        <f t="shared" si="15"/>
        <v>142547.392148977</v>
      </c>
    </row>
    <row r="251" spans="9:12" s="2" customFormat="1" x14ac:dyDescent="0.35">
      <c r="I251" s="47">
        <f t="shared" si="12"/>
        <v>142547.392148977</v>
      </c>
      <c r="J251" s="5">
        <f t="shared" si="13"/>
        <v>908.7396249497283</v>
      </c>
      <c r="K251" s="47">
        <f t="shared" si="14"/>
        <v>-1773.7858123854903</v>
      </c>
      <c r="L251" s="47">
        <f t="shared" si="15"/>
        <v>141682.34596154123</v>
      </c>
    </row>
    <row r="252" spans="9:12" s="2" customFormat="1" x14ac:dyDescent="0.35">
      <c r="I252" s="47">
        <f t="shared" si="12"/>
        <v>141682.34596154123</v>
      </c>
      <c r="J252" s="5">
        <f t="shared" si="13"/>
        <v>903.22495550482529</v>
      </c>
      <c r="K252" s="47">
        <f t="shared" si="14"/>
        <v>-1773.7858123854903</v>
      </c>
      <c r="L252" s="47">
        <f t="shared" si="15"/>
        <v>140811.78510466055</v>
      </c>
    </row>
    <row r="253" spans="9:12" s="2" customFormat="1" x14ac:dyDescent="0.35">
      <c r="I253" s="47">
        <f t="shared" si="12"/>
        <v>140811.78510466055</v>
      </c>
      <c r="J253" s="5">
        <f t="shared" si="13"/>
        <v>897.67513004221098</v>
      </c>
      <c r="K253" s="47">
        <f t="shared" si="14"/>
        <v>-1773.7858123854903</v>
      </c>
      <c r="L253" s="47">
        <f t="shared" si="15"/>
        <v>139935.67442231727</v>
      </c>
    </row>
    <row r="254" spans="9:12" s="2" customFormat="1" x14ac:dyDescent="0.35">
      <c r="I254" s="47">
        <f t="shared" si="12"/>
        <v>139935.67442231727</v>
      </c>
      <c r="J254" s="5">
        <f t="shared" si="13"/>
        <v>892.0899244422726</v>
      </c>
      <c r="K254" s="47">
        <f t="shared" si="14"/>
        <v>-1773.7858123854903</v>
      </c>
      <c r="L254" s="47">
        <f t="shared" si="15"/>
        <v>139053.97853437404</v>
      </c>
    </row>
    <row r="255" spans="9:12" s="2" customFormat="1" x14ac:dyDescent="0.35">
      <c r="I255" s="47">
        <f t="shared" si="12"/>
        <v>139053.97853437404</v>
      </c>
      <c r="J255" s="5">
        <f t="shared" si="13"/>
        <v>886.46911315663442</v>
      </c>
      <c r="K255" s="47">
        <f t="shared" si="14"/>
        <v>-1773.7858123854903</v>
      </c>
      <c r="L255" s="47">
        <f t="shared" si="15"/>
        <v>138166.66183514518</v>
      </c>
    </row>
    <row r="256" spans="9:12" s="2" customFormat="1" x14ac:dyDescent="0.35">
      <c r="I256" s="47">
        <f t="shared" si="12"/>
        <v>138166.66183514518</v>
      </c>
      <c r="J256" s="5">
        <f t="shared" si="13"/>
        <v>880.8124691990505</v>
      </c>
      <c r="K256" s="47">
        <f t="shared" si="14"/>
        <v>-1773.7858123854903</v>
      </c>
      <c r="L256" s="47">
        <f t="shared" si="15"/>
        <v>137273.68849195872</v>
      </c>
    </row>
    <row r="257" spans="9:12" s="2" customFormat="1" x14ac:dyDescent="0.35">
      <c r="I257" s="47">
        <f t="shared" si="12"/>
        <v>137273.68849195872</v>
      </c>
      <c r="J257" s="5">
        <f t="shared" si="13"/>
        <v>875.11976413623677</v>
      </c>
      <c r="K257" s="47">
        <f t="shared" si="14"/>
        <v>-1773.7858123854903</v>
      </c>
      <c r="L257" s="47">
        <f t="shared" si="15"/>
        <v>136375.02244370946</v>
      </c>
    </row>
    <row r="258" spans="9:12" s="2" customFormat="1" x14ac:dyDescent="0.35">
      <c r="I258" s="47">
        <f t="shared" si="12"/>
        <v>136375.02244370946</v>
      </c>
      <c r="J258" s="5">
        <f t="shared" si="13"/>
        <v>869.39076807864774</v>
      </c>
      <c r="K258" s="47">
        <f t="shared" si="14"/>
        <v>-1773.7858123854903</v>
      </c>
      <c r="L258" s="47">
        <f t="shared" si="15"/>
        <v>135470.62739940261</v>
      </c>
    </row>
    <row r="259" spans="9:12" s="2" customFormat="1" x14ac:dyDescent="0.35">
      <c r="I259" s="47">
        <f t="shared" si="12"/>
        <v>135470.62739940261</v>
      </c>
      <c r="J259" s="5">
        <f t="shared" si="13"/>
        <v>863.62524967119157</v>
      </c>
      <c r="K259" s="47">
        <f t="shared" si="14"/>
        <v>-1773.7858123854903</v>
      </c>
      <c r="L259" s="47">
        <f t="shared" si="15"/>
        <v>134560.46683668831</v>
      </c>
    </row>
    <row r="260" spans="9:12" s="2" customFormat="1" x14ac:dyDescent="0.35">
      <c r="I260" s="47">
        <f t="shared" si="12"/>
        <v>134560.46683668831</v>
      </c>
      <c r="J260" s="5">
        <f t="shared" si="13"/>
        <v>857.82297608388797</v>
      </c>
      <c r="K260" s="47">
        <f t="shared" si="14"/>
        <v>-1773.7858123854903</v>
      </c>
      <c r="L260" s="47">
        <f t="shared" si="15"/>
        <v>133644.50400038672</v>
      </c>
    </row>
    <row r="261" spans="9:12" s="2" customFormat="1" x14ac:dyDescent="0.35">
      <c r="I261" s="47">
        <f t="shared" si="12"/>
        <v>133644.50400038672</v>
      </c>
      <c r="J261" s="5">
        <f t="shared" si="13"/>
        <v>851.98371300246527</v>
      </c>
      <c r="K261" s="47">
        <f t="shared" si="14"/>
        <v>-1773.7858123854903</v>
      </c>
      <c r="L261" s="47">
        <f t="shared" si="15"/>
        <v>132722.70190100369</v>
      </c>
    </row>
    <row r="262" spans="9:12" s="2" customFormat="1" x14ac:dyDescent="0.35">
      <c r="I262" s="47">
        <f t="shared" ref="I262:I325" si="16">L261</f>
        <v>132722.70190100369</v>
      </c>
      <c r="J262" s="5">
        <f t="shared" ref="J262:J325" si="17">$G$6*I262</f>
        <v>846.1072246188985</v>
      </c>
      <c r="K262" s="47">
        <f t="shared" ref="K262:K325" si="18">$G$7</f>
        <v>-1773.7858123854903</v>
      </c>
      <c r="L262" s="47">
        <f t="shared" ref="L262:L325" si="19">I262+J262+K262</f>
        <v>131795.02331323709</v>
      </c>
    </row>
    <row r="263" spans="9:12" s="2" customFormat="1" x14ac:dyDescent="0.35">
      <c r="I263" s="47">
        <f t="shared" si="16"/>
        <v>131795.02331323709</v>
      </c>
      <c r="J263" s="5">
        <f t="shared" si="17"/>
        <v>840.19327362188642</v>
      </c>
      <c r="K263" s="47">
        <f t="shared" si="18"/>
        <v>-1773.7858123854903</v>
      </c>
      <c r="L263" s="47">
        <f t="shared" si="19"/>
        <v>130861.43077447347</v>
      </c>
    </row>
    <row r="264" spans="9:12" s="2" customFormat="1" x14ac:dyDescent="0.35">
      <c r="I264" s="47">
        <f t="shared" si="16"/>
        <v>130861.43077447347</v>
      </c>
      <c r="J264" s="5">
        <f t="shared" si="17"/>
        <v>834.24162118726827</v>
      </c>
      <c r="K264" s="47">
        <f t="shared" si="18"/>
        <v>-1773.7858123854903</v>
      </c>
      <c r="L264" s="47">
        <f t="shared" si="19"/>
        <v>129921.88658327525</v>
      </c>
    </row>
    <row r="265" spans="9:12" s="2" customFormat="1" x14ac:dyDescent="0.35">
      <c r="I265" s="47">
        <f t="shared" si="16"/>
        <v>129921.88658327525</v>
      </c>
      <c r="J265" s="5">
        <f t="shared" si="17"/>
        <v>828.25202696837971</v>
      </c>
      <c r="K265" s="47">
        <f t="shared" si="18"/>
        <v>-1773.7858123854903</v>
      </c>
      <c r="L265" s="47">
        <f t="shared" si="19"/>
        <v>128976.35279785813</v>
      </c>
    </row>
    <row r="266" spans="9:12" s="2" customFormat="1" x14ac:dyDescent="0.35">
      <c r="I266" s="47">
        <f t="shared" si="16"/>
        <v>128976.35279785813</v>
      </c>
      <c r="J266" s="5">
        <f t="shared" si="17"/>
        <v>822.22424908634548</v>
      </c>
      <c r="K266" s="47">
        <f t="shared" si="18"/>
        <v>-1773.7858123854903</v>
      </c>
      <c r="L266" s="47">
        <f t="shared" si="19"/>
        <v>128024.79123455897</v>
      </c>
    </row>
    <row r="267" spans="9:12" s="2" customFormat="1" x14ac:dyDescent="0.35">
      <c r="I267" s="47">
        <f t="shared" si="16"/>
        <v>128024.79123455897</v>
      </c>
      <c r="J267" s="5">
        <f t="shared" si="17"/>
        <v>816.15804412031343</v>
      </c>
      <c r="K267" s="47">
        <f t="shared" si="18"/>
        <v>-1773.7858123854903</v>
      </c>
      <c r="L267" s="47">
        <f t="shared" si="19"/>
        <v>127067.16346629379</v>
      </c>
    </row>
    <row r="268" spans="9:12" s="2" customFormat="1" x14ac:dyDescent="0.35">
      <c r="I268" s="47">
        <f t="shared" si="16"/>
        <v>127067.16346629379</v>
      </c>
      <c r="J268" s="5">
        <f t="shared" si="17"/>
        <v>810.0531670976228</v>
      </c>
      <c r="K268" s="47">
        <f t="shared" si="18"/>
        <v>-1773.7858123854903</v>
      </c>
      <c r="L268" s="47">
        <f t="shared" si="19"/>
        <v>126103.43082100591</v>
      </c>
    </row>
    <row r="269" spans="9:12" s="2" customFormat="1" x14ac:dyDescent="0.35">
      <c r="I269" s="47">
        <f t="shared" si="16"/>
        <v>126103.43082100591</v>
      </c>
      <c r="J269" s="5">
        <f t="shared" si="17"/>
        <v>803.90937148391265</v>
      </c>
      <c r="K269" s="47">
        <f t="shared" si="18"/>
        <v>-1773.7858123854903</v>
      </c>
      <c r="L269" s="47">
        <f t="shared" si="19"/>
        <v>125133.55438010432</v>
      </c>
    </row>
    <row r="270" spans="9:12" s="2" customFormat="1" x14ac:dyDescent="0.35">
      <c r="I270" s="47">
        <f t="shared" si="16"/>
        <v>125133.55438010432</v>
      </c>
      <c r="J270" s="5">
        <f t="shared" si="17"/>
        <v>797.72640917316505</v>
      </c>
      <c r="K270" s="47">
        <f t="shared" si="18"/>
        <v>-1773.7858123854903</v>
      </c>
      <c r="L270" s="47">
        <f t="shared" si="19"/>
        <v>124157.49497689199</v>
      </c>
    </row>
    <row r="271" spans="9:12" s="2" customFormat="1" x14ac:dyDescent="0.35">
      <c r="I271" s="47">
        <f t="shared" si="16"/>
        <v>124157.49497689199</v>
      </c>
      <c r="J271" s="5">
        <f t="shared" si="17"/>
        <v>791.50403047768634</v>
      </c>
      <c r="K271" s="47">
        <f t="shared" si="18"/>
        <v>-1773.7858123854903</v>
      </c>
      <c r="L271" s="47">
        <f t="shared" si="19"/>
        <v>123175.21319498419</v>
      </c>
    </row>
    <row r="272" spans="9:12" s="2" customFormat="1" x14ac:dyDescent="0.35">
      <c r="I272" s="47">
        <f t="shared" si="16"/>
        <v>123175.21319498419</v>
      </c>
      <c r="J272" s="5">
        <f t="shared" si="17"/>
        <v>785.24198411802411</v>
      </c>
      <c r="K272" s="47">
        <f t="shared" si="18"/>
        <v>-1773.7858123854903</v>
      </c>
      <c r="L272" s="47">
        <f t="shared" si="19"/>
        <v>122186.66936671671</v>
      </c>
    </row>
    <row r="273" spans="9:12" s="2" customFormat="1" x14ac:dyDescent="0.35">
      <c r="I273" s="47">
        <f t="shared" si="16"/>
        <v>122186.66936671671</v>
      </c>
      <c r="J273" s="5">
        <f t="shared" si="17"/>
        <v>778.94001721281904</v>
      </c>
      <c r="K273" s="47">
        <f t="shared" si="18"/>
        <v>-1773.7858123854903</v>
      </c>
      <c r="L273" s="47">
        <f t="shared" si="19"/>
        <v>121191.82357154404</v>
      </c>
    </row>
    <row r="274" spans="9:12" s="2" customFormat="1" x14ac:dyDescent="0.35">
      <c r="I274" s="47">
        <f t="shared" si="16"/>
        <v>121191.82357154404</v>
      </c>
      <c r="J274" s="5">
        <f t="shared" si="17"/>
        <v>772.59787526859316</v>
      </c>
      <c r="K274" s="47">
        <f t="shared" si="18"/>
        <v>-1773.7858123854903</v>
      </c>
      <c r="L274" s="47">
        <f t="shared" si="19"/>
        <v>120190.63563442713</v>
      </c>
    </row>
    <row r="275" spans="9:12" s="2" customFormat="1" x14ac:dyDescent="0.35">
      <c r="I275" s="47">
        <f t="shared" si="16"/>
        <v>120190.63563442713</v>
      </c>
      <c r="J275" s="5">
        <f t="shared" si="17"/>
        <v>766.21530216947292</v>
      </c>
      <c r="K275" s="47">
        <f t="shared" si="18"/>
        <v>-1773.7858123854903</v>
      </c>
      <c r="L275" s="47">
        <f t="shared" si="19"/>
        <v>119183.06512421111</v>
      </c>
    </row>
    <row r="276" spans="9:12" s="2" customFormat="1" x14ac:dyDescent="0.35">
      <c r="I276" s="47">
        <f t="shared" si="16"/>
        <v>119183.06512421111</v>
      </c>
      <c r="J276" s="5">
        <f t="shared" si="17"/>
        <v>759.79204016684571</v>
      </c>
      <c r="K276" s="47">
        <f t="shared" si="18"/>
        <v>-1773.7858123854903</v>
      </c>
      <c r="L276" s="47">
        <f t="shared" si="19"/>
        <v>118169.07135199246</v>
      </c>
    </row>
    <row r="277" spans="9:12" s="2" customFormat="1" x14ac:dyDescent="0.35">
      <c r="I277" s="47">
        <f t="shared" si="16"/>
        <v>118169.07135199246</v>
      </c>
      <c r="J277" s="5">
        <f t="shared" si="17"/>
        <v>753.32782986895188</v>
      </c>
      <c r="K277" s="47">
        <f t="shared" si="18"/>
        <v>-1773.7858123854903</v>
      </c>
      <c r="L277" s="47">
        <f t="shared" si="19"/>
        <v>117148.61336947592</v>
      </c>
    </row>
    <row r="278" spans="9:12" s="2" customFormat="1" x14ac:dyDescent="0.35">
      <c r="I278" s="47">
        <f t="shared" si="16"/>
        <v>117148.61336947592</v>
      </c>
      <c r="J278" s="5">
        <f t="shared" si="17"/>
        <v>746.82241023040899</v>
      </c>
      <c r="K278" s="47">
        <f t="shared" si="18"/>
        <v>-1773.7858123854903</v>
      </c>
      <c r="L278" s="47">
        <f t="shared" si="19"/>
        <v>116121.64996732083</v>
      </c>
    </row>
    <row r="279" spans="9:12" s="2" customFormat="1" x14ac:dyDescent="0.35">
      <c r="I279" s="47">
        <f t="shared" si="16"/>
        <v>116121.64996732083</v>
      </c>
      <c r="J279" s="5">
        <f t="shared" si="17"/>
        <v>740.27551854167029</v>
      </c>
      <c r="K279" s="47">
        <f t="shared" si="18"/>
        <v>-1773.7858123854903</v>
      </c>
      <c r="L279" s="47">
        <f t="shared" si="19"/>
        <v>115088.13967347701</v>
      </c>
    </row>
    <row r="280" spans="9:12" s="2" customFormat="1" x14ac:dyDescent="0.35">
      <c r="I280" s="47">
        <f t="shared" si="16"/>
        <v>115088.13967347701</v>
      </c>
      <c r="J280" s="5">
        <f t="shared" si="17"/>
        <v>733.68689041841594</v>
      </c>
      <c r="K280" s="47">
        <f t="shared" si="18"/>
        <v>-1773.7858123854903</v>
      </c>
      <c r="L280" s="47">
        <f t="shared" si="19"/>
        <v>114048.04075150994</v>
      </c>
    </row>
    <row r="281" spans="9:12" s="2" customFormat="1" x14ac:dyDescent="0.35">
      <c r="I281" s="47">
        <f t="shared" si="16"/>
        <v>114048.04075150994</v>
      </c>
      <c r="J281" s="5">
        <f t="shared" si="17"/>
        <v>727.05625979087574</v>
      </c>
      <c r="K281" s="47">
        <f t="shared" si="18"/>
        <v>-1773.7858123854903</v>
      </c>
      <c r="L281" s="47">
        <f t="shared" si="19"/>
        <v>113001.31119891531</v>
      </c>
    </row>
    <row r="282" spans="9:12" s="2" customFormat="1" x14ac:dyDescent="0.35">
      <c r="I282" s="47">
        <f t="shared" si="16"/>
        <v>113001.31119891531</v>
      </c>
      <c r="J282" s="5">
        <f t="shared" si="17"/>
        <v>720.38335889308507</v>
      </c>
      <c r="K282" s="47">
        <f t="shared" si="18"/>
        <v>-1773.7858123854903</v>
      </c>
      <c r="L282" s="47">
        <f t="shared" si="19"/>
        <v>111947.9087454229</v>
      </c>
    </row>
    <row r="283" spans="9:12" s="2" customFormat="1" x14ac:dyDescent="0.35">
      <c r="I283" s="47">
        <f t="shared" si="16"/>
        <v>111947.9087454229</v>
      </c>
      <c r="J283" s="5">
        <f t="shared" si="17"/>
        <v>713.66791825207099</v>
      </c>
      <c r="K283" s="47">
        <f t="shared" si="18"/>
        <v>-1773.7858123854903</v>
      </c>
      <c r="L283" s="47">
        <f t="shared" si="19"/>
        <v>110887.79085128948</v>
      </c>
    </row>
    <row r="284" spans="9:12" s="2" customFormat="1" x14ac:dyDescent="0.35">
      <c r="I284" s="47">
        <f t="shared" si="16"/>
        <v>110887.79085128948</v>
      </c>
      <c r="J284" s="5">
        <f t="shared" si="17"/>
        <v>706.90966667697035</v>
      </c>
      <c r="K284" s="47">
        <f t="shared" si="18"/>
        <v>-1773.7858123854903</v>
      </c>
      <c r="L284" s="47">
        <f t="shared" si="19"/>
        <v>109820.91470558096</v>
      </c>
    </row>
    <row r="285" spans="9:12" s="2" customFormat="1" x14ac:dyDescent="0.35">
      <c r="I285" s="47">
        <f t="shared" si="16"/>
        <v>109820.91470558096</v>
      </c>
      <c r="J285" s="5">
        <f t="shared" si="17"/>
        <v>700.10833124807857</v>
      </c>
      <c r="K285" s="47">
        <f t="shared" si="18"/>
        <v>-1773.7858123854903</v>
      </c>
      <c r="L285" s="47">
        <f t="shared" si="19"/>
        <v>108747.23722444354</v>
      </c>
    </row>
    <row r="286" spans="9:12" s="2" customFormat="1" x14ac:dyDescent="0.35">
      <c r="I286" s="47">
        <f t="shared" si="16"/>
        <v>108747.23722444354</v>
      </c>
      <c r="J286" s="5">
        <f t="shared" si="17"/>
        <v>693.2636373058275</v>
      </c>
      <c r="K286" s="47">
        <f t="shared" si="18"/>
        <v>-1773.7858123854903</v>
      </c>
      <c r="L286" s="47">
        <f t="shared" si="19"/>
        <v>107666.71504936388</v>
      </c>
    </row>
    <row r="287" spans="9:12" s="2" customFormat="1" x14ac:dyDescent="0.35">
      <c r="I287" s="47">
        <f t="shared" si="16"/>
        <v>107666.71504936388</v>
      </c>
      <c r="J287" s="5">
        <f t="shared" si="17"/>
        <v>686.37530843969466</v>
      </c>
      <c r="K287" s="47">
        <f t="shared" si="18"/>
        <v>-1773.7858123854903</v>
      </c>
      <c r="L287" s="47">
        <f t="shared" si="19"/>
        <v>106579.30454541807</v>
      </c>
    </row>
    <row r="288" spans="9:12" s="2" customFormat="1" x14ac:dyDescent="0.35">
      <c r="I288" s="47">
        <f t="shared" si="16"/>
        <v>106579.30454541807</v>
      </c>
      <c r="J288" s="5">
        <f t="shared" si="17"/>
        <v>679.44306647704013</v>
      </c>
      <c r="K288" s="47">
        <f t="shared" si="18"/>
        <v>-1773.7858123854903</v>
      </c>
      <c r="L288" s="47">
        <f t="shared" si="19"/>
        <v>105484.96179950961</v>
      </c>
    </row>
    <row r="289" spans="9:12" s="2" customFormat="1" x14ac:dyDescent="0.35">
      <c r="I289" s="47">
        <f t="shared" si="16"/>
        <v>105484.96179950961</v>
      </c>
      <c r="J289" s="5">
        <f t="shared" si="17"/>
        <v>672.46663147187371</v>
      </c>
      <c r="K289" s="47">
        <f t="shared" si="18"/>
        <v>-1773.7858123854903</v>
      </c>
      <c r="L289" s="47">
        <f t="shared" si="19"/>
        <v>104383.64261859599</v>
      </c>
    </row>
    <row r="290" spans="9:12" s="2" customFormat="1" x14ac:dyDescent="0.35">
      <c r="I290" s="47">
        <f t="shared" si="16"/>
        <v>104383.64261859599</v>
      </c>
      <c r="J290" s="5">
        <f t="shared" si="17"/>
        <v>665.44572169354933</v>
      </c>
      <c r="K290" s="47">
        <f t="shared" si="18"/>
        <v>-1773.7858123854903</v>
      </c>
      <c r="L290" s="47">
        <f t="shared" si="19"/>
        <v>103275.30252790404</v>
      </c>
    </row>
    <row r="291" spans="9:12" s="2" customFormat="1" x14ac:dyDescent="0.35">
      <c r="I291" s="47">
        <f t="shared" si="16"/>
        <v>103275.30252790404</v>
      </c>
      <c r="J291" s="5">
        <f t="shared" si="17"/>
        <v>658.38005361538819</v>
      </c>
      <c r="K291" s="47">
        <f t="shared" si="18"/>
        <v>-1773.7858123854903</v>
      </c>
      <c r="L291" s="47">
        <f t="shared" si="19"/>
        <v>102159.89676913393</v>
      </c>
    </row>
    <row r="292" spans="9:12" s="2" customFormat="1" x14ac:dyDescent="0.35">
      <c r="I292" s="47">
        <f t="shared" si="16"/>
        <v>102159.89676913393</v>
      </c>
      <c r="J292" s="5">
        <f t="shared" si="17"/>
        <v>651.26934190322879</v>
      </c>
      <c r="K292" s="47">
        <f t="shared" si="18"/>
        <v>-1773.7858123854903</v>
      </c>
      <c r="L292" s="47">
        <f t="shared" si="19"/>
        <v>101037.38029865167</v>
      </c>
    </row>
    <row r="293" spans="9:12" s="2" customFormat="1" x14ac:dyDescent="0.35">
      <c r="I293" s="47">
        <f t="shared" si="16"/>
        <v>101037.38029865167</v>
      </c>
      <c r="J293" s="5">
        <f t="shared" si="17"/>
        <v>644.11329940390431</v>
      </c>
      <c r="K293" s="47">
        <f t="shared" si="18"/>
        <v>-1773.7858123854903</v>
      </c>
      <c r="L293" s="47">
        <f t="shared" si="19"/>
        <v>99907.707785670078</v>
      </c>
    </row>
    <row r="294" spans="9:12" s="2" customFormat="1" x14ac:dyDescent="0.35">
      <c r="I294" s="47">
        <f t="shared" si="16"/>
        <v>99907.707785670078</v>
      </c>
      <c r="J294" s="5">
        <f t="shared" si="17"/>
        <v>636.91163713364665</v>
      </c>
      <c r="K294" s="47">
        <f t="shared" si="18"/>
        <v>-1773.7858123854903</v>
      </c>
      <c r="L294" s="47">
        <f t="shared" si="19"/>
        <v>98770.833610418224</v>
      </c>
    </row>
    <row r="295" spans="9:12" s="2" customFormat="1" x14ac:dyDescent="0.35">
      <c r="I295" s="47">
        <f t="shared" si="16"/>
        <v>98770.833610418224</v>
      </c>
      <c r="J295" s="5">
        <f t="shared" si="17"/>
        <v>629.66406426641618</v>
      </c>
      <c r="K295" s="47">
        <f t="shared" si="18"/>
        <v>-1773.7858123854903</v>
      </c>
      <c r="L295" s="47">
        <f t="shared" si="19"/>
        <v>97626.71186229914</v>
      </c>
    </row>
    <row r="296" spans="9:12" s="2" customFormat="1" x14ac:dyDescent="0.35">
      <c r="I296" s="47">
        <f t="shared" si="16"/>
        <v>97626.71186229914</v>
      </c>
      <c r="J296" s="5">
        <f t="shared" si="17"/>
        <v>622.37028812215704</v>
      </c>
      <c r="K296" s="47">
        <f t="shared" si="18"/>
        <v>-1773.7858123854903</v>
      </c>
      <c r="L296" s="47">
        <f t="shared" si="19"/>
        <v>96475.296338035798</v>
      </c>
    </row>
    <row r="297" spans="9:12" s="2" customFormat="1" x14ac:dyDescent="0.35">
      <c r="I297" s="47">
        <f t="shared" si="16"/>
        <v>96475.296338035798</v>
      </c>
      <c r="J297" s="5">
        <f t="shared" si="17"/>
        <v>615.03001415497818</v>
      </c>
      <c r="K297" s="47">
        <f t="shared" si="18"/>
        <v>-1773.7858123854903</v>
      </c>
      <c r="L297" s="47">
        <f t="shared" si="19"/>
        <v>95316.540539805283</v>
      </c>
    </row>
    <row r="298" spans="9:12" s="2" customFormat="1" x14ac:dyDescent="0.35">
      <c r="I298" s="47">
        <f t="shared" si="16"/>
        <v>95316.540539805283</v>
      </c>
      <c r="J298" s="5">
        <f t="shared" si="17"/>
        <v>607.64294594125863</v>
      </c>
      <c r="K298" s="47">
        <f t="shared" si="18"/>
        <v>-1773.7858123854903</v>
      </c>
      <c r="L298" s="47">
        <f t="shared" si="19"/>
        <v>94150.397673361047</v>
      </c>
    </row>
    <row r="299" spans="9:12" s="2" customFormat="1" x14ac:dyDescent="0.35">
      <c r="I299" s="47">
        <f t="shared" si="16"/>
        <v>94150.397673361047</v>
      </c>
      <c r="J299" s="5">
        <f t="shared" si="17"/>
        <v>600.20878516767664</v>
      </c>
      <c r="K299" s="47">
        <f t="shared" si="18"/>
        <v>-1773.7858123854903</v>
      </c>
      <c r="L299" s="47">
        <f t="shared" si="19"/>
        <v>92976.820646143227</v>
      </c>
    </row>
    <row r="300" spans="9:12" s="2" customFormat="1" x14ac:dyDescent="0.35">
      <c r="I300" s="47">
        <f t="shared" si="16"/>
        <v>92976.820646143227</v>
      </c>
      <c r="J300" s="5">
        <f t="shared" si="17"/>
        <v>592.72723161916304</v>
      </c>
      <c r="K300" s="47">
        <f t="shared" si="18"/>
        <v>-1773.7858123854903</v>
      </c>
      <c r="L300" s="47">
        <f t="shared" si="19"/>
        <v>91795.762065376897</v>
      </c>
    </row>
    <row r="301" spans="9:12" s="2" customFormat="1" x14ac:dyDescent="0.35">
      <c r="I301" s="47">
        <f t="shared" si="16"/>
        <v>91795.762065376897</v>
      </c>
      <c r="J301" s="5">
        <f t="shared" si="17"/>
        <v>585.1979831667777</v>
      </c>
      <c r="K301" s="47">
        <f t="shared" si="18"/>
        <v>-1773.7858123854903</v>
      </c>
      <c r="L301" s="47">
        <f t="shared" si="19"/>
        <v>90607.174236158171</v>
      </c>
    </row>
    <row r="302" spans="9:12" s="2" customFormat="1" x14ac:dyDescent="0.35">
      <c r="I302" s="47">
        <f t="shared" si="16"/>
        <v>90607.174236158171</v>
      </c>
      <c r="J302" s="5">
        <f t="shared" si="17"/>
        <v>577.62073575550835</v>
      </c>
      <c r="K302" s="47">
        <f t="shared" si="18"/>
        <v>-1773.7858123854903</v>
      </c>
      <c r="L302" s="47">
        <f t="shared" si="19"/>
        <v>89411.009159528185</v>
      </c>
    </row>
    <row r="303" spans="9:12" s="2" customFormat="1" x14ac:dyDescent="0.35">
      <c r="I303" s="47">
        <f t="shared" si="16"/>
        <v>89411.009159528185</v>
      </c>
      <c r="J303" s="5">
        <f t="shared" si="17"/>
        <v>569.9951833919921</v>
      </c>
      <c r="K303" s="47">
        <f t="shared" si="18"/>
        <v>-1773.7858123854903</v>
      </c>
      <c r="L303" s="47">
        <f t="shared" si="19"/>
        <v>88207.218530534679</v>
      </c>
    </row>
    <row r="304" spans="9:12" s="2" customFormat="1" x14ac:dyDescent="0.35">
      <c r="I304" s="47">
        <f t="shared" si="16"/>
        <v>88207.218530534679</v>
      </c>
      <c r="J304" s="5">
        <f t="shared" si="17"/>
        <v>562.32101813215854</v>
      </c>
      <c r="K304" s="47">
        <f t="shared" si="18"/>
        <v>-1773.7858123854903</v>
      </c>
      <c r="L304" s="47">
        <f t="shared" si="19"/>
        <v>86995.753736281345</v>
      </c>
    </row>
    <row r="305" spans="9:12" s="2" customFormat="1" x14ac:dyDescent="0.35">
      <c r="I305" s="47">
        <f t="shared" si="16"/>
        <v>86995.753736281345</v>
      </c>
      <c r="J305" s="5">
        <f t="shared" si="17"/>
        <v>554.59793006879352</v>
      </c>
      <c r="K305" s="47">
        <f t="shared" si="18"/>
        <v>-1773.7858123854903</v>
      </c>
      <c r="L305" s="47">
        <f t="shared" si="19"/>
        <v>85776.565853964639</v>
      </c>
    </row>
    <row r="306" spans="9:12" s="2" customFormat="1" x14ac:dyDescent="0.35">
      <c r="I306" s="47">
        <f t="shared" si="16"/>
        <v>85776.565853964639</v>
      </c>
      <c r="J306" s="5">
        <f t="shared" si="17"/>
        <v>546.82560731902458</v>
      </c>
      <c r="K306" s="47">
        <f t="shared" si="18"/>
        <v>-1773.7858123854903</v>
      </c>
      <c r="L306" s="47">
        <f t="shared" si="19"/>
        <v>84549.60564889817</v>
      </c>
    </row>
    <row r="307" spans="9:12" s="2" customFormat="1" x14ac:dyDescent="0.35">
      <c r="I307" s="47">
        <f t="shared" si="16"/>
        <v>84549.60564889817</v>
      </c>
      <c r="J307" s="5">
        <f t="shared" si="17"/>
        <v>539.00373601172578</v>
      </c>
      <c r="K307" s="47">
        <f t="shared" si="18"/>
        <v>-1773.7858123854903</v>
      </c>
      <c r="L307" s="47">
        <f t="shared" si="19"/>
        <v>83314.823572524401</v>
      </c>
    </row>
    <row r="308" spans="9:12" s="2" customFormat="1" x14ac:dyDescent="0.35">
      <c r="I308" s="47">
        <f t="shared" si="16"/>
        <v>83314.823572524401</v>
      </c>
      <c r="J308" s="5">
        <f t="shared" si="17"/>
        <v>531.13200027484299</v>
      </c>
      <c r="K308" s="47">
        <f t="shared" si="18"/>
        <v>-1773.7858123854903</v>
      </c>
      <c r="L308" s="47">
        <f t="shared" si="19"/>
        <v>82072.169760413744</v>
      </c>
    </row>
    <row r="309" spans="9:12" s="2" customFormat="1" x14ac:dyDescent="0.35">
      <c r="I309" s="47">
        <f t="shared" si="16"/>
        <v>82072.169760413744</v>
      </c>
      <c r="J309" s="5">
        <f t="shared" si="17"/>
        <v>523.21008222263754</v>
      </c>
      <c r="K309" s="47">
        <f t="shared" si="18"/>
        <v>-1773.7858123854903</v>
      </c>
      <c r="L309" s="47">
        <f t="shared" si="19"/>
        <v>80821.594030250882</v>
      </c>
    </row>
    <row r="310" spans="9:12" s="2" customFormat="1" x14ac:dyDescent="0.35">
      <c r="I310" s="47">
        <f t="shared" si="16"/>
        <v>80821.594030250882</v>
      </c>
      <c r="J310" s="5">
        <f t="shared" si="17"/>
        <v>515.2376619428494</v>
      </c>
      <c r="K310" s="47">
        <f t="shared" si="18"/>
        <v>-1773.7858123854903</v>
      </c>
      <c r="L310" s="47">
        <f t="shared" si="19"/>
        <v>79563.04587980824</v>
      </c>
    </row>
    <row r="311" spans="9:12" s="2" customFormat="1" x14ac:dyDescent="0.35">
      <c r="I311" s="47">
        <f t="shared" si="16"/>
        <v>79563.04587980824</v>
      </c>
      <c r="J311" s="5">
        <f t="shared" si="17"/>
        <v>507.21441748377748</v>
      </c>
      <c r="K311" s="47">
        <f t="shared" si="18"/>
        <v>-1773.7858123854903</v>
      </c>
      <c r="L311" s="47">
        <f t="shared" si="19"/>
        <v>78296.474484906517</v>
      </c>
    </row>
    <row r="312" spans="9:12" s="2" customFormat="1" x14ac:dyDescent="0.35">
      <c r="I312" s="47">
        <f t="shared" si="16"/>
        <v>78296.474484906517</v>
      </c>
      <c r="J312" s="5">
        <f t="shared" si="17"/>
        <v>499.140024841279</v>
      </c>
      <c r="K312" s="47">
        <f t="shared" si="18"/>
        <v>-1773.7858123854903</v>
      </c>
      <c r="L312" s="47">
        <f t="shared" si="19"/>
        <v>77021.828697362304</v>
      </c>
    </row>
    <row r="313" spans="9:12" s="2" customFormat="1" x14ac:dyDescent="0.35">
      <c r="I313" s="47">
        <f t="shared" si="16"/>
        <v>77021.828697362304</v>
      </c>
      <c r="J313" s="5">
        <f t="shared" si="17"/>
        <v>491.01415794568464</v>
      </c>
      <c r="K313" s="47">
        <f t="shared" si="18"/>
        <v>-1773.7858123854903</v>
      </c>
      <c r="L313" s="47">
        <f t="shared" si="19"/>
        <v>75739.05704292249</v>
      </c>
    </row>
    <row r="314" spans="9:12" s="2" customFormat="1" x14ac:dyDescent="0.35">
      <c r="I314" s="47">
        <f t="shared" si="16"/>
        <v>75739.05704292249</v>
      </c>
      <c r="J314" s="5">
        <f t="shared" si="17"/>
        <v>482.83648864863085</v>
      </c>
      <c r="K314" s="47">
        <f t="shared" si="18"/>
        <v>-1773.7858123854903</v>
      </c>
      <c r="L314" s="47">
        <f t="shared" si="19"/>
        <v>74448.107719185631</v>
      </c>
    </row>
    <row r="315" spans="9:12" s="2" customFormat="1" x14ac:dyDescent="0.35">
      <c r="I315" s="47">
        <f t="shared" si="16"/>
        <v>74448.107719185631</v>
      </c>
      <c r="J315" s="5">
        <f t="shared" si="17"/>
        <v>474.60668670980834</v>
      </c>
      <c r="K315" s="47">
        <f t="shared" si="18"/>
        <v>-1773.7858123854903</v>
      </c>
      <c r="L315" s="47">
        <f t="shared" si="19"/>
        <v>73148.928593509947</v>
      </c>
    </row>
    <row r="316" spans="9:12" s="2" customFormat="1" x14ac:dyDescent="0.35">
      <c r="I316" s="47">
        <f t="shared" si="16"/>
        <v>73148.928593509947</v>
      </c>
      <c r="J316" s="5">
        <f t="shared" si="17"/>
        <v>466.3244197836259</v>
      </c>
      <c r="K316" s="47">
        <f t="shared" si="18"/>
        <v>-1773.7858123854903</v>
      </c>
      <c r="L316" s="47">
        <f t="shared" si="19"/>
        <v>71841.467200908082</v>
      </c>
    </row>
    <row r="317" spans="9:12" s="2" customFormat="1" x14ac:dyDescent="0.35">
      <c r="I317" s="47">
        <f t="shared" si="16"/>
        <v>71841.467200908082</v>
      </c>
      <c r="J317" s="5">
        <f t="shared" si="17"/>
        <v>457.98935340578902</v>
      </c>
      <c r="K317" s="47">
        <f t="shared" si="18"/>
        <v>-1773.7858123854903</v>
      </c>
      <c r="L317" s="47">
        <f t="shared" si="19"/>
        <v>70525.670741928378</v>
      </c>
    </row>
    <row r="318" spans="9:12" s="2" customFormat="1" x14ac:dyDescent="0.35">
      <c r="I318" s="47">
        <f t="shared" si="16"/>
        <v>70525.670741928378</v>
      </c>
      <c r="J318" s="5">
        <f t="shared" si="17"/>
        <v>449.60115097979337</v>
      </c>
      <c r="K318" s="47">
        <f t="shared" si="18"/>
        <v>-1773.7858123854903</v>
      </c>
      <c r="L318" s="47">
        <f t="shared" si="19"/>
        <v>69201.486080522678</v>
      </c>
    </row>
    <row r="319" spans="9:12" s="2" customFormat="1" x14ac:dyDescent="0.35">
      <c r="I319" s="47">
        <f t="shared" si="16"/>
        <v>69201.486080522678</v>
      </c>
      <c r="J319" s="5">
        <f t="shared" si="17"/>
        <v>441.15947376333202</v>
      </c>
      <c r="K319" s="47">
        <f t="shared" si="18"/>
        <v>-1773.7858123854903</v>
      </c>
      <c r="L319" s="47">
        <f t="shared" si="19"/>
        <v>67868.859741900509</v>
      </c>
    </row>
    <row r="320" spans="9:12" s="2" customFormat="1" x14ac:dyDescent="0.35">
      <c r="I320" s="47">
        <f t="shared" si="16"/>
        <v>67868.859741900509</v>
      </c>
      <c r="J320" s="5">
        <f t="shared" si="17"/>
        <v>432.66398085461572</v>
      </c>
      <c r="K320" s="47">
        <f t="shared" si="18"/>
        <v>-1773.7858123854903</v>
      </c>
      <c r="L320" s="47">
        <f t="shared" si="19"/>
        <v>66527.737910369629</v>
      </c>
    </row>
    <row r="321" spans="9:12" s="2" customFormat="1" x14ac:dyDescent="0.35">
      <c r="I321" s="47">
        <f t="shared" si="16"/>
        <v>66527.737910369629</v>
      </c>
      <c r="J321" s="5">
        <f t="shared" si="17"/>
        <v>424.11432917860634</v>
      </c>
      <c r="K321" s="47">
        <f t="shared" si="18"/>
        <v>-1773.7858123854903</v>
      </c>
      <c r="L321" s="47">
        <f t="shared" si="19"/>
        <v>65178.066427162739</v>
      </c>
    </row>
    <row r="322" spans="9:12" s="2" customFormat="1" x14ac:dyDescent="0.35">
      <c r="I322" s="47">
        <f t="shared" si="16"/>
        <v>65178.066427162739</v>
      </c>
      <c r="J322" s="5">
        <f t="shared" si="17"/>
        <v>415.51017347316241</v>
      </c>
      <c r="K322" s="47">
        <f t="shared" si="18"/>
        <v>-1773.7858123854903</v>
      </c>
      <c r="L322" s="47">
        <f t="shared" si="19"/>
        <v>63819.790788250415</v>
      </c>
    </row>
    <row r="323" spans="9:12" s="2" customFormat="1" x14ac:dyDescent="0.35">
      <c r="I323" s="47">
        <f t="shared" si="16"/>
        <v>63819.790788250415</v>
      </c>
      <c r="J323" s="5">
        <f t="shared" si="17"/>
        <v>406.85116627509638</v>
      </c>
      <c r="K323" s="47">
        <f t="shared" si="18"/>
        <v>-1773.7858123854903</v>
      </c>
      <c r="L323" s="47">
        <f t="shared" si="19"/>
        <v>62452.856142140023</v>
      </c>
    </row>
    <row r="324" spans="9:12" s="2" customFormat="1" x14ac:dyDescent="0.35">
      <c r="I324" s="47">
        <f t="shared" si="16"/>
        <v>62452.856142140023</v>
      </c>
      <c r="J324" s="5">
        <f t="shared" si="17"/>
        <v>398.13695790614264</v>
      </c>
      <c r="K324" s="47">
        <f t="shared" si="18"/>
        <v>-1773.7858123854903</v>
      </c>
      <c r="L324" s="47">
        <f t="shared" si="19"/>
        <v>61077.207287660676</v>
      </c>
    </row>
    <row r="325" spans="9:12" s="2" customFormat="1" x14ac:dyDescent="0.35">
      <c r="I325" s="47">
        <f t="shared" si="16"/>
        <v>61077.207287660676</v>
      </c>
      <c r="J325" s="5">
        <f t="shared" si="17"/>
        <v>389.36719645883676</v>
      </c>
      <c r="K325" s="47">
        <f t="shared" si="18"/>
        <v>-1773.7858123854903</v>
      </c>
      <c r="L325" s="47">
        <f t="shared" si="19"/>
        <v>59692.788671734023</v>
      </c>
    </row>
    <row r="326" spans="9:12" s="2" customFormat="1" x14ac:dyDescent="0.35">
      <c r="I326" s="47">
        <f t="shared" ref="I326:I389" si="20">L325</f>
        <v>59692.788671734023</v>
      </c>
      <c r="J326" s="5">
        <f t="shared" ref="J326:J389" si="21">$G$6*I326</f>
        <v>380.54152778230434</v>
      </c>
      <c r="K326" s="47">
        <f t="shared" ref="K326:K389" si="22">$G$7</f>
        <v>-1773.7858123854903</v>
      </c>
      <c r="L326" s="47">
        <f t="shared" ref="L326:L389" si="23">I326+J326+K326</f>
        <v>58299.544387130838</v>
      </c>
    </row>
    <row r="327" spans="9:12" s="2" customFormat="1" x14ac:dyDescent="0.35">
      <c r="I327" s="47">
        <f t="shared" si="20"/>
        <v>58299.544387130838</v>
      </c>
      <c r="J327" s="5">
        <f t="shared" si="21"/>
        <v>371.65959546795909</v>
      </c>
      <c r="K327" s="47">
        <f t="shared" si="22"/>
        <v>-1773.7858123854903</v>
      </c>
      <c r="L327" s="47">
        <f t="shared" si="23"/>
        <v>56897.418170213306</v>
      </c>
    </row>
    <row r="328" spans="9:12" s="2" customFormat="1" x14ac:dyDescent="0.35">
      <c r="I328" s="47">
        <f t="shared" si="20"/>
        <v>56897.418170213306</v>
      </c>
      <c r="J328" s="5">
        <f t="shared" si="21"/>
        <v>362.72104083510982</v>
      </c>
      <c r="K328" s="47">
        <f t="shared" si="22"/>
        <v>-1773.7858123854903</v>
      </c>
      <c r="L328" s="47">
        <f t="shared" si="23"/>
        <v>55486.353398662926</v>
      </c>
    </row>
    <row r="329" spans="9:12" s="2" customFormat="1" x14ac:dyDescent="0.35">
      <c r="I329" s="47">
        <f t="shared" si="20"/>
        <v>55486.353398662926</v>
      </c>
      <c r="J329" s="5">
        <f t="shared" si="21"/>
        <v>353.72550291647616</v>
      </c>
      <c r="K329" s="47">
        <f t="shared" si="22"/>
        <v>-1773.7858123854903</v>
      </c>
      <c r="L329" s="47">
        <f t="shared" si="23"/>
        <v>54066.29308919391</v>
      </c>
    </row>
    <row r="330" spans="9:12" s="2" customFormat="1" x14ac:dyDescent="0.35">
      <c r="I330" s="47">
        <f t="shared" si="20"/>
        <v>54066.29308919391</v>
      </c>
      <c r="J330" s="5">
        <f t="shared" si="21"/>
        <v>344.67261844361116</v>
      </c>
      <c r="K330" s="47">
        <f t="shared" si="22"/>
        <v>-1773.7858123854903</v>
      </c>
      <c r="L330" s="47">
        <f t="shared" si="23"/>
        <v>52637.179895252033</v>
      </c>
    </row>
    <row r="331" spans="9:12" s="2" customFormat="1" x14ac:dyDescent="0.35">
      <c r="I331" s="47">
        <f t="shared" si="20"/>
        <v>52637.179895252033</v>
      </c>
      <c r="J331" s="5">
        <f t="shared" si="21"/>
        <v>335.56202183223166</v>
      </c>
      <c r="K331" s="47">
        <f t="shared" si="22"/>
        <v>-1773.7858123854903</v>
      </c>
      <c r="L331" s="47">
        <f t="shared" si="23"/>
        <v>51198.956104698773</v>
      </c>
    </row>
    <row r="332" spans="9:12" s="2" customFormat="1" x14ac:dyDescent="0.35">
      <c r="I332" s="47">
        <f t="shared" si="20"/>
        <v>51198.956104698773</v>
      </c>
      <c r="J332" s="5">
        <f t="shared" si="21"/>
        <v>326.39334516745464</v>
      </c>
      <c r="K332" s="47">
        <f t="shared" si="22"/>
        <v>-1773.7858123854903</v>
      </c>
      <c r="L332" s="47">
        <f t="shared" si="23"/>
        <v>49751.563637480736</v>
      </c>
    </row>
    <row r="333" spans="9:12" s="2" customFormat="1" x14ac:dyDescent="0.35">
      <c r="I333" s="47">
        <f t="shared" si="20"/>
        <v>49751.563637480736</v>
      </c>
      <c r="J333" s="5">
        <f t="shared" si="21"/>
        <v>317.16621818893969</v>
      </c>
      <c r="K333" s="47">
        <f t="shared" si="22"/>
        <v>-1773.7858123854903</v>
      </c>
      <c r="L333" s="47">
        <f t="shared" si="23"/>
        <v>48294.944043284188</v>
      </c>
    </row>
    <row r="334" spans="9:12" s="2" customFormat="1" x14ac:dyDescent="0.35">
      <c r="I334" s="47">
        <f t="shared" si="20"/>
        <v>48294.944043284188</v>
      </c>
      <c r="J334" s="5">
        <f t="shared" si="21"/>
        <v>307.88026827593666</v>
      </c>
      <c r="K334" s="47">
        <f t="shared" si="22"/>
        <v>-1773.7858123854903</v>
      </c>
      <c r="L334" s="47">
        <f t="shared" si="23"/>
        <v>46829.038499174632</v>
      </c>
    </row>
    <row r="335" spans="9:12" s="2" customFormat="1" x14ac:dyDescent="0.35">
      <c r="I335" s="47">
        <f t="shared" si="20"/>
        <v>46829.038499174632</v>
      </c>
      <c r="J335" s="5">
        <f t="shared" si="21"/>
        <v>298.53512043223827</v>
      </c>
      <c r="K335" s="47">
        <f t="shared" si="22"/>
        <v>-1773.7858123854903</v>
      </c>
      <c r="L335" s="47">
        <f t="shared" si="23"/>
        <v>45353.787807221379</v>
      </c>
    </row>
    <row r="336" spans="9:12" s="2" customFormat="1" x14ac:dyDescent="0.35">
      <c r="I336" s="47">
        <f t="shared" si="20"/>
        <v>45353.787807221379</v>
      </c>
      <c r="J336" s="5">
        <f t="shared" si="21"/>
        <v>289.13039727103626</v>
      </c>
      <c r="K336" s="47">
        <f t="shared" si="22"/>
        <v>-1773.7858123854903</v>
      </c>
      <c r="L336" s="47">
        <f t="shared" si="23"/>
        <v>43869.132392106927</v>
      </c>
    </row>
    <row r="337" spans="9:12" s="2" customFormat="1" x14ac:dyDescent="0.35">
      <c r="I337" s="47">
        <f t="shared" si="20"/>
        <v>43869.132392106927</v>
      </c>
      <c r="J337" s="5">
        <f t="shared" si="21"/>
        <v>279.66571899968164</v>
      </c>
      <c r="K337" s="47">
        <f t="shared" si="22"/>
        <v>-1773.7858123854903</v>
      </c>
      <c r="L337" s="47">
        <f t="shared" si="23"/>
        <v>42375.012298721122</v>
      </c>
    </row>
    <row r="338" spans="9:12" s="2" customFormat="1" x14ac:dyDescent="0.35">
      <c r="I338" s="47">
        <f t="shared" si="20"/>
        <v>42375.012298721122</v>
      </c>
      <c r="J338" s="5">
        <f t="shared" si="21"/>
        <v>270.14070340434711</v>
      </c>
      <c r="K338" s="47">
        <f t="shared" si="22"/>
        <v>-1773.7858123854903</v>
      </c>
      <c r="L338" s="47">
        <f t="shared" si="23"/>
        <v>40871.367189739976</v>
      </c>
    </row>
    <row r="339" spans="9:12" s="2" customFormat="1" x14ac:dyDescent="0.35">
      <c r="I339" s="47">
        <f t="shared" si="20"/>
        <v>40871.367189739976</v>
      </c>
      <c r="J339" s="5">
        <f t="shared" si="21"/>
        <v>260.55496583459234</v>
      </c>
      <c r="K339" s="47">
        <f t="shared" si="22"/>
        <v>-1773.7858123854903</v>
      </c>
      <c r="L339" s="47">
        <f t="shared" si="23"/>
        <v>39358.136343189079</v>
      </c>
    </row>
    <row r="340" spans="9:12" s="2" customFormat="1" x14ac:dyDescent="0.35">
      <c r="I340" s="47">
        <f t="shared" si="20"/>
        <v>39358.136343189079</v>
      </c>
      <c r="J340" s="5">
        <f t="shared" si="21"/>
        <v>250.90811918783035</v>
      </c>
      <c r="K340" s="47">
        <f t="shared" si="22"/>
        <v>-1773.7858123854903</v>
      </c>
      <c r="L340" s="47">
        <f t="shared" si="23"/>
        <v>37835.258649991418</v>
      </c>
    </row>
    <row r="341" spans="9:12" s="2" customFormat="1" x14ac:dyDescent="0.35">
      <c r="I341" s="47">
        <f t="shared" si="20"/>
        <v>37835.258649991418</v>
      </c>
      <c r="J341" s="5">
        <f t="shared" si="21"/>
        <v>241.19977389369527</v>
      </c>
      <c r="K341" s="47">
        <f t="shared" si="22"/>
        <v>-1773.7858123854903</v>
      </c>
      <c r="L341" s="47">
        <f t="shared" si="23"/>
        <v>36302.672611499627</v>
      </c>
    </row>
    <row r="342" spans="9:12" s="2" customFormat="1" x14ac:dyDescent="0.35">
      <c r="I342" s="47">
        <f t="shared" si="20"/>
        <v>36302.672611499627</v>
      </c>
      <c r="J342" s="5">
        <f t="shared" si="21"/>
        <v>231.42953789831012</v>
      </c>
      <c r="K342" s="47">
        <f t="shared" si="22"/>
        <v>-1773.7858123854903</v>
      </c>
      <c r="L342" s="47">
        <f t="shared" si="23"/>
        <v>34760.316337012446</v>
      </c>
    </row>
    <row r="343" spans="9:12" s="2" customFormat="1" x14ac:dyDescent="0.35">
      <c r="I343" s="47">
        <f t="shared" si="20"/>
        <v>34760.316337012446</v>
      </c>
      <c r="J343" s="5">
        <f t="shared" si="21"/>
        <v>221.59701664845431</v>
      </c>
      <c r="K343" s="47">
        <f t="shared" si="22"/>
        <v>-1773.7858123854903</v>
      </c>
      <c r="L343" s="47">
        <f t="shared" si="23"/>
        <v>33208.127541275411</v>
      </c>
    </row>
    <row r="344" spans="9:12" s="2" customFormat="1" x14ac:dyDescent="0.35">
      <c r="I344" s="47">
        <f t="shared" si="20"/>
        <v>33208.127541275411</v>
      </c>
      <c r="J344" s="5">
        <f t="shared" si="21"/>
        <v>211.70181307563072</v>
      </c>
      <c r="K344" s="47">
        <f t="shared" si="22"/>
        <v>-1773.7858123854903</v>
      </c>
      <c r="L344" s="47">
        <f t="shared" si="23"/>
        <v>31646.043541965555</v>
      </c>
    </row>
    <row r="345" spans="9:12" s="2" customFormat="1" x14ac:dyDescent="0.35">
      <c r="I345" s="47">
        <f t="shared" si="20"/>
        <v>31646.043541965555</v>
      </c>
      <c r="J345" s="5">
        <f t="shared" si="21"/>
        <v>201.74352758003039</v>
      </c>
      <c r="K345" s="47">
        <f t="shared" si="22"/>
        <v>-1773.7858123854903</v>
      </c>
      <c r="L345" s="47">
        <f t="shared" si="23"/>
        <v>30074.001257160096</v>
      </c>
    </row>
    <row r="346" spans="9:12" s="2" customFormat="1" x14ac:dyDescent="0.35">
      <c r="I346" s="47">
        <f t="shared" si="20"/>
        <v>30074.001257160096</v>
      </c>
      <c r="J346" s="5">
        <f t="shared" si="21"/>
        <v>191.72175801439559</v>
      </c>
      <c r="K346" s="47">
        <f t="shared" si="22"/>
        <v>-1773.7858123854903</v>
      </c>
      <c r="L346" s="47">
        <f t="shared" si="23"/>
        <v>28491.937202789002</v>
      </c>
    </row>
    <row r="347" spans="9:12" s="2" customFormat="1" x14ac:dyDescent="0.35">
      <c r="I347" s="47">
        <f t="shared" si="20"/>
        <v>28491.937202789002</v>
      </c>
      <c r="J347" s="5">
        <f t="shared" si="21"/>
        <v>181.63609966777989</v>
      </c>
      <c r="K347" s="47">
        <f t="shared" si="22"/>
        <v>-1773.7858123854903</v>
      </c>
      <c r="L347" s="47">
        <f t="shared" si="23"/>
        <v>26899.787490071292</v>
      </c>
    </row>
    <row r="348" spans="9:12" s="2" customFormat="1" x14ac:dyDescent="0.35">
      <c r="I348" s="47">
        <f t="shared" si="20"/>
        <v>26899.787490071292</v>
      </c>
      <c r="J348" s="5">
        <f t="shared" si="21"/>
        <v>171.48614524920447</v>
      </c>
      <c r="K348" s="47">
        <f t="shared" si="22"/>
        <v>-1773.7858123854903</v>
      </c>
      <c r="L348" s="47">
        <f t="shared" si="23"/>
        <v>25297.487822935007</v>
      </c>
    </row>
    <row r="349" spans="9:12" s="2" customFormat="1" x14ac:dyDescent="0.35">
      <c r="I349" s="47">
        <f t="shared" si="20"/>
        <v>25297.487822935007</v>
      </c>
      <c r="J349" s="5">
        <f t="shared" si="21"/>
        <v>161.27148487121065</v>
      </c>
      <c r="K349" s="47">
        <f t="shared" si="22"/>
        <v>-1773.7858123854903</v>
      </c>
      <c r="L349" s="47">
        <f t="shared" si="23"/>
        <v>23684.973495420727</v>
      </c>
    </row>
    <row r="350" spans="9:12" s="2" customFormat="1" x14ac:dyDescent="0.35">
      <c r="I350" s="47">
        <f t="shared" si="20"/>
        <v>23684.973495420727</v>
      </c>
      <c r="J350" s="5">
        <f t="shared" si="21"/>
        <v>150.99170603330711</v>
      </c>
      <c r="K350" s="47">
        <f t="shared" si="22"/>
        <v>-1773.7858123854903</v>
      </c>
      <c r="L350" s="47">
        <f t="shared" si="23"/>
        <v>22062.179389068544</v>
      </c>
    </row>
    <row r="351" spans="9:12" s="2" customFormat="1" x14ac:dyDescent="0.35">
      <c r="I351" s="47">
        <f t="shared" si="20"/>
        <v>22062.179389068544</v>
      </c>
      <c r="J351" s="5">
        <f t="shared" si="21"/>
        <v>140.64639360531197</v>
      </c>
      <c r="K351" s="47">
        <f t="shared" si="22"/>
        <v>-1773.7858123854903</v>
      </c>
      <c r="L351" s="47">
        <f t="shared" si="23"/>
        <v>20429.039970288366</v>
      </c>
    </row>
    <row r="352" spans="9:12" s="2" customFormat="1" x14ac:dyDescent="0.35">
      <c r="I352" s="47">
        <f t="shared" si="20"/>
        <v>20429.039970288366</v>
      </c>
      <c r="J352" s="5">
        <f t="shared" si="21"/>
        <v>130.23512981058832</v>
      </c>
      <c r="K352" s="47">
        <f t="shared" si="22"/>
        <v>-1773.7858123854903</v>
      </c>
      <c r="L352" s="47">
        <f t="shared" si="23"/>
        <v>18785.489287713466</v>
      </c>
    </row>
    <row r="353" spans="9:12" s="2" customFormat="1" x14ac:dyDescent="0.35">
      <c r="I353" s="47">
        <f t="shared" si="20"/>
        <v>18785.489287713466</v>
      </c>
      <c r="J353" s="5">
        <f t="shared" si="21"/>
        <v>119.75749420917334</v>
      </c>
      <c r="K353" s="47">
        <f t="shared" si="22"/>
        <v>-1773.7858123854903</v>
      </c>
      <c r="L353" s="47">
        <f t="shared" si="23"/>
        <v>17131.460969537151</v>
      </c>
    </row>
    <row r="354" spans="9:12" s="2" customFormat="1" x14ac:dyDescent="0.35">
      <c r="I354" s="47">
        <f t="shared" si="20"/>
        <v>17131.460969537151</v>
      </c>
      <c r="J354" s="5">
        <f t="shared" si="21"/>
        <v>109.21306368079934</v>
      </c>
      <c r="K354" s="47">
        <f t="shared" si="22"/>
        <v>-1773.7858123854903</v>
      </c>
      <c r="L354" s="47">
        <f t="shared" si="23"/>
        <v>15466.888220832461</v>
      </c>
    </row>
    <row r="355" spans="9:12" s="2" customFormat="1" x14ac:dyDescent="0.35">
      <c r="I355" s="47">
        <f t="shared" si="20"/>
        <v>15466.888220832461</v>
      </c>
      <c r="J355" s="5">
        <f t="shared" si="21"/>
        <v>98.601412407806933</v>
      </c>
      <c r="K355" s="47">
        <f t="shared" si="22"/>
        <v>-1773.7858123854903</v>
      </c>
      <c r="L355" s="47">
        <f t="shared" si="23"/>
        <v>13791.703820854778</v>
      </c>
    </row>
    <row r="356" spans="9:12" s="2" customFormat="1" x14ac:dyDescent="0.35">
      <c r="I356" s="47">
        <f t="shared" si="20"/>
        <v>13791.703820854778</v>
      </c>
      <c r="J356" s="5">
        <f t="shared" si="21"/>
        <v>87.922111857949204</v>
      </c>
      <c r="K356" s="47">
        <f t="shared" si="22"/>
        <v>-1773.7858123854903</v>
      </c>
      <c r="L356" s="47">
        <f t="shared" si="23"/>
        <v>12105.840120327237</v>
      </c>
    </row>
    <row r="357" spans="9:12" s="2" customFormat="1" x14ac:dyDescent="0.35">
      <c r="I357" s="47">
        <f t="shared" si="20"/>
        <v>12105.840120327237</v>
      </c>
      <c r="J357" s="5">
        <f t="shared" si="21"/>
        <v>77.174730767086132</v>
      </c>
      <c r="K357" s="47">
        <f t="shared" si="22"/>
        <v>-1773.7858123854903</v>
      </c>
      <c r="L357" s="47">
        <f t="shared" si="23"/>
        <v>10409.229038708832</v>
      </c>
    </row>
    <row r="358" spans="9:12" s="2" customFormat="1" x14ac:dyDescent="0.35">
      <c r="I358" s="47">
        <f t="shared" si="20"/>
        <v>10409.229038708832</v>
      </c>
      <c r="J358" s="5">
        <f t="shared" si="21"/>
        <v>66.358835121768806</v>
      </c>
      <c r="K358" s="47">
        <f t="shared" si="22"/>
        <v>-1773.7858123854903</v>
      </c>
      <c r="L358" s="47">
        <f t="shared" si="23"/>
        <v>8701.8020614451125</v>
      </c>
    </row>
    <row r="359" spans="9:12" s="2" customFormat="1" x14ac:dyDescent="0.35">
      <c r="I359" s="47">
        <f t="shared" si="20"/>
        <v>8701.8020614451125</v>
      </c>
      <c r="J359" s="5">
        <f t="shared" si="21"/>
        <v>55.473988141712589</v>
      </c>
      <c r="K359" s="47">
        <f t="shared" si="22"/>
        <v>-1773.7858123854903</v>
      </c>
      <c r="L359" s="47">
        <f t="shared" si="23"/>
        <v>6983.4902372013339</v>
      </c>
    </row>
    <row r="360" spans="9:12" s="2" customFormat="1" x14ac:dyDescent="0.35">
      <c r="I360" s="47">
        <f t="shared" si="20"/>
        <v>6983.4902372013339</v>
      </c>
      <c r="J360" s="5">
        <f t="shared" si="21"/>
        <v>44.519750262158503</v>
      </c>
      <c r="K360" s="47">
        <f t="shared" si="22"/>
        <v>-1773.7858123854903</v>
      </c>
      <c r="L360" s="47">
        <f t="shared" si="23"/>
        <v>5254.2241750780022</v>
      </c>
    </row>
    <row r="361" spans="9:12" s="2" customFormat="1" x14ac:dyDescent="0.35">
      <c r="I361" s="47">
        <f t="shared" si="20"/>
        <v>5254.2241750780022</v>
      </c>
      <c r="J361" s="5">
        <f t="shared" si="21"/>
        <v>33.495679116122261</v>
      </c>
      <c r="K361" s="47">
        <f t="shared" si="22"/>
        <v>-1773.7858123854903</v>
      </c>
      <c r="L361" s="47">
        <f t="shared" si="23"/>
        <v>3513.934041808634</v>
      </c>
    </row>
    <row r="362" spans="9:12" s="2" customFormat="1" x14ac:dyDescent="0.35">
      <c r="I362" s="47">
        <f t="shared" si="20"/>
        <v>3513.934041808634</v>
      </c>
      <c r="J362" s="5">
        <f t="shared" si="21"/>
        <v>22.401329516530041</v>
      </c>
      <c r="K362" s="47">
        <f t="shared" si="22"/>
        <v>-1773.7858123854903</v>
      </c>
      <c r="L362" s="47">
        <f t="shared" si="23"/>
        <v>1762.5495589396737</v>
      </c>
    </row>
    <row r="363" spans="9:12" s="2" customFormat="1" x14ac:dyDescent="0.35">
      <c r="I363" s="47">
        <f t="shared" si="20"/>
        <v>1762.5495589396737</v>
      </c>
      <c r="J363" s="5">
        <f t="shared" si="21"/>
        <v>11.23625343824042</v>
      </c>
      <c r="K363" s="47">
        <f t="shared" si="22"/>
        <v>-1773.7858123854903</v>
      </c>
      <c r="L363" s="47">
        <f t="shared" si="23"/>
        <v>-7.5760908657684922E-9</v>
      </c>
    </row>
    <row r="364" spans="9:12" s="2" customFormat="1" x14ac:dyDescent="0.35">
      <c r="I364" s="47"/>
      <c r="J364" s="5"/>
      <c r="K364" s="47"/>
      <c r="L364" s="47"/>
    </row>
    <row r="365" spans="9:12" s="2" customFormat="1" x14ac:dyDescent="0.35">
      <c r="I365" s="47"/>
      <c r="J365" s="5"/>
      <c r="K365" s="47"/>
      <c r="L365" s="47"/>
    </row>
    <row r="366" spans="9:12" s="2" customFormat="1" x14ac:dyDescent="0.35">
      <c r="I366" s="47"/>
      <c r="J366" s="5"/>
      <c r="K366" s="47"/>
      <c r="L366" s="47"/>
    </row>
    <row r="367" spans="9:12" s="2" customFormat="1" x14ac:dyDescent="0.35">
      <c r="I367" s="47"/>
      <c r="J367" s="5"/>
      <c r="K367" s="47"/>
      <c r="L367" s="47"/>
    </row>
    <row r="368" spans="9:12" s="2" customFormat="1" x14ac:dyDescent="0.35">
      <c r="I368" s="47"/>
      <c r="J368" s="5"/>
      <c r="K368" s="47"/>
      <c r="L368" s="47"/>
    </row>
    <row r="369" spans="9:12" s="2" customFormat="1" x14ac:dyDescent="0.35">
      <c r="I369" s="47"/>
      <c r="J369" s="5"/>
      <c r="K369" s="47"/>
      <c r="L369" s="47"/>
    </row>
    <row r="370" spans="9:12" s="2" customFormat="1" x14ac:dyDescent="0.35">
      <c r="I370" s="47"/>
      <c r="J370" s="5"/>
      <c r="K370" s="47"/>
      <c r="L370" s="47"/>
    </row>
    <row r="371" spans="9:12" s="2" customFormat="1" x14ac:dyDescent="0.35">
      <c r="I371" s="47"/>
      <c r="J371" s="5"/>
      <c r="K371" s="47"/>
      <c r="L371" s="47"/>
    </row>
    <row r="372" spans="9:12" s="2" customFormat="1" x14ac:dyDescent="0.35">
      <c r="I372" s="47"/>
      <c r="J372" s="5"/>
      <c r="K372" s="47"/>
      <c r="L372" s="47"/>
    </row>
    <row r="373" spans="9:12" s="2" customFormat="1" x14ac:dyDescent="0.35">
      <c r="I373" s="47"/>
      <c r="J373" s="5"/>
      <c r="K373" s="47"/>
      <c r="L373" s="47"/>
    </row>
    <row r="374" spans="9:12" s="2" customFormat="1" x14ac:dyDescent="0.35">
      <c r="I374" s="47"/>
      <c r="J374" s="5"/>
      <c r="K374" s="47"/>
      <c r="L374" s="47"/>
    </row>
    <row r="375" spans="9:12" s="2" customFormat="1" x14ac:dyDescent="0.35">
      <c r="I375" s="47"/>
      <c r="J375" s="5"/>
      <c r="K375" s="47"/>
      <c r="L375" s="47"/>
    </row>
    <row r="376" spans="9:12" s="2" customFormat="1" x14ac:dyDescent="0.35">
      <c r="I376" s="47"/>
      <c r="J376" s="5"/>
      <c r="K376" s="47"/>
      <c r="L376" s="47"/>
    </row>
    <row r="377" spans="9:12" s="2" customFormat="1" x14ac:dyDescent="0.35">
      <c r="I377" s="47"/>
      <c r="J377" s="5"/>
      <c r="K377" s="47"/>
      <c r="L377" s="47"/>
    </row>
    <row r="378" spans="9:12" s="2" customFormat="1" x14ac:dyDescent="0.35">
      <c r="I378" s="47"/>
      <c r="J378" s="5"/>
      <c r="K378" s="47"/>
      <c r="L378" s="47"/>
    </row>
    <row r="379" spans="9:12" s="2" customFormat="1" x14ac:dyDescent="0.35">
      <c r="I379" s="47"/>
      <c r="J379" s="5"/>
      <c r="K379" s="47"/>
      <c r="L379" s="47"/>
    </row>
    <row r="380" spans="9:12" s="2" customFormat="1" x14ac:dyDescent="0.35">
      <c r="I380" s="47"/>
      <c r="J380" s="5"/>
      <c r="K380" s="47"/>
      <c r="L380" s="47"/>
    </row>
    <row r="381" spans="9:12" s="2" customFormat="1" x14ac:dyDescent="0.35">
      <c r="I381" s="47">
        <f t="shared" si="20"/>
        <v>0</v>
      </c>
      <c r="J381" s="5">
        <f t="shared" si="21"/>
        <v>0</v>
      </c>
      <c r="K381" s="47">
        <f t="shared" si="22"/>
        <v>-1773.7858123854903</v>
      </c>
      <c r="L381" s="47">
        <f t="shared" si="23"/>
        <v>-1773.7858123854903</v>
      </c>
    </row>
    <row r="382" spans="9:12" s="2" customFormat="1" x14ac:dyDescent="0.35">
      <c r="I382" s="47">
        <f t="shared" si="20"/>
        <v>-1773.7858123854903</v>
      </c>
      <c r="J382" s="5">
        <f t="shared" si="21"/>
        <v>-11.3078845539575</v>
      </c>
      <c r="K382" s="47">
        <f t="shared" si="22"/>
        <v>-1773.7858123854903</v>
      </c>
      <c r="L382" s="47">
        <f t="shared" si="23"/>
        <v>-3558.8795093249382</v>
      </c>
    </row>
    <row r="383" spans="9:12" s="2" customFormat="1" x14ac:dyDescent="0.35">
      <c r="I383" s="47">
        <f t="shared" si="20"/>
        <v>-3558.8795093249382</v>
      </c>
      <c r="J383" s="5">
        <f t="shared" si="21"/>
        <v>-22.687856871946479</v>
      </c>
      <c r="K383" s="47">
        <f t="shared" si="22"/>
        <v>-1773.7858123854903</v>
      </c>
      <c r="L383" s="47">
        <f t="shared" si="23"/>
        <v>-5355.3531785823752</v>
      </c>
    </row>
    <row r="384" spans="9:12" s="2" customFormat="1" x14ac:dyDescent="0.35">
      <c r="I384" s="47">
        <f t="shared" si="20"/>
        <v>-5355.3531785823752</v>
      </c>
      <c r="J384" s="5">
        <f t="shared" si="21"/>
        <v>-34.140376513462641</v>
      </c>
      <c r="K384" s="47">
        <f t="shared" si="22"/>
        <v>-1773.7858123854903</v>
      </c>
      <c r="L384" s="47">
        <f t="shared" si="23"/>
        <v>-7163.2793674813283</v>
      </c>
    </row>
    <row r="385" spans="9:12" s="2" customFormat="1" x14ac:dyDescent="0.35">
      <c r="I385" s="47">
        <f t="shared" si="20"/>
        <v>-7163.2793674813283</v>
      </c>
      <c r="J385" s="5">
        <f t="shared" si="21"/>
        <v>-45.665905967693462</v>
      </c>
      <c r="K385" s="47">
        <f t="shared" si="22"/>
        <v>-1773.7858123854903</v>
      </c>
      <c r="L385" s="47">
        <f t="shared" si="23"/>
        <v>-8982.7310858345118</v>
      </c>
    </row>
    <row r="386" spans="9:12" s="2" customFormat="1" x14ac:dyDescent="0.35">
      <c r="I386" s="47">
        <f t="shared" si="20"/>
        <v>-8982.7310858345118</v>
      </c>
      <c r="J386" s="5">
        <f t="shared" si="21"/>
        <v>-57.264910672195008</v>
      </c>
      <c r="K386" s="47">
        <f t="shared" si="22"/>
        <v>-1773.7858123854903</v>
      </c>
      <c r="L386" s="47">
        <f t="shared" si="23"/>
        <v>-10813.781808892196</v>
      </c>
    </row>
    <row r="387" spans="9:12" s="2" customFormat="1" x14ac:dyDescent="0.35">
      <c r="I387" s="47">
        <f t="shared" si="20"/>
        <v>-10813.781808892196</v>
      </c>
      <c r="J387" s="5">
        <f t="shared" si="21"/>
        <v>-68.937859031687751</v>
      </c>
      <c r="K387" s="47">
        <f t="shared" si="22"/>
        <v>-1773.7858123854903</v>
      </c>
      <c r="L387" s="47">
        <f t="shared" si="23"/>
        <v>-12656.505480309374</v>
      </c>
    </row>
    <row r="388" spans="9:12" s="2" customFormat="1" x14ac:dyDescent="0.35">
      <c r="I388" s="47">
        <f t="shared" si="20"/>
        <v>-12656.505480309374</v>
      </c>
      <c r="J388" s="5">
        <f t="shared" si="21"/>
        <v>-80.685222436972253</v>
      </c>
      <c r="K388" s="47">
        <f t="shared" si="22"/>
        <v>-1773.7858123854903</v>
      </c>
      <c r="L388" s="47">
        <f t="shared" si="23"/>
        <v>-14510.976515131835</v>
      </c>
    </row>
    <row r="389" spans="9:12" s="2" customFormat="1" x14ac:dyDescent="0.35">
      <c r="I389" s="47">
        <f t="shared" si="20"/>
        <v>-14510.976515131835</v>
      </c>
      <c r="J389" s="5">
        <f t="shared" si="21"/>
        <v>-92.507475283965448</v>
      </c>
      <c r="K389" s="47">
        <f t="shared" si="22"/>
        <v>-1773.7858123854903</v>
      </c>
      <c r="L389" s="47">
        <f t="shared" si="23"/>
        <v>-16377.269802801289</v>
      </c>
    </row>
    <row r="390" spans="9:12" s="2" customFormat="1" x14ac:dyDescent="0.35">
      <c r="I390" s="47">
        <f t="shared" ref="I390:I450" si="24">L389</f>
        <v>-16377.269802801289</v>
      </c>
      <c r="J390" s="5">
        <f t="shared" ref="J390:J399" si="25">$G$6*I390</f>
        <v>-104.40509499285821</v>
      </c>
      <c r="K390" s="47">
        <f t="shared" ref="K390:K399" si="26">$G$7</f>
        <v>-1773.7858123854903</v>
      </c>
      <c r="L390" s="47">
        <f t="shared" ref="L390:L399" si="27">I390+J390+K390</f>
        <v>-18255.460710179635</v>
      </c>
    </row>
    <row r="391" spans="9:12" s="2" customFormat="1" x14ac:dyDescent="0.35">
      <c r="I391" s="47">
        <f t="shared" si="24"/>
        <v>-18255.460710179635</v>
      </c>
      <c r="J391" s="5">
        <f t="shared" si="25"/>
        <v>-116.37856202739516</v>
      </c>
      <c r="K391" s="47">
        <f t="shared" si="26"/>
        <v>-1773.7858123854903</v>
      </c>
      <c r="L391" s="47">
        <f t="shared" si="27"/>
        <v>-20145.625084592521</v>
      </c>
    </row>
    <row r="392" spans="9:12" s="2" customFormat="1" x14ac:dyDescent="0.35">
      <c r="I392" s="47">
        <f t="shared" si="24"/>
        <v>-20145.625084592521</v>
      </c>
      <c r="J392" s="5">
        <f t="shared" si="25"/>
        <v>-128.42835991427731</v>
      </c>
      <c r="K392" s="47">
        <f t="shared" si="26"/>
        <v>-1773.7858123854903</v>
      </c>
      <c r="L392" s="47">
        <f t="shared" si="27"/>
        <v>-22047.839256892286</v>
      </c>
    </row>
    <row r="393" spans="9:12" s="2" customFormat="1" x14ac:dyDescent="0.35">
      <c r="I393" s="47">
        <f t="shared" si="24"/>
        <v>-22047.839256892286</v>
      </c>
      <c r="J393" s="5">
        <f t="shared" si="25"/>
        <v>-140.55497526268832</v>
      </c>
      <c r="K393" s="47">
        <f t="shared" si="26"/>
        <v>-1773.7858123854903</v>
      </c>
      <c r="L393" s="47">
        <f t="shared" si="27"/>
        <v>-23962.180044540462</v>
      </c>
    </row>
    <row r="394" spans="9:12" s="2" customFormat="1" x14ac:dyDescent="0.35">
      <c r="I394" s="47">
        <f t="shared" si="24"/>
        <v>-23962.180044540462</v>
      </c>
      <c r="J394" s="5">
        <f t="shared" si="25"/>
        <v>-152.75889778394543</v>
      </c>
      <c r="K394" s="47">
        <f t="shared" si="26"/>
        <v>-1773.7858123854903</v>
      </c>
      <c r="L394" s="47">
        <f t="shared" si="27"/>
        <v>-25888.724754709896</v>
      </c>
    </row>
    <row r="395" spans="9:12" s="2" customFormat="1" x14ac:dyDescent="0.35">
      <c r="I395" s="47">
        <f t="shared" si="24"/>
        <v>-25888.724754709896</v>
      </c>
      <c r="J395" s="5">
        <f t="shared" si="25"/>
        <v>-165.04062031127557</v>
      </c>
      <c r="K395" s="47">
        <f t="shared" si="26"/>
        <v>-1773.7858123854903</v>
      </c>
      <c r="L395" s="47">
        <f t="shared" si="27"/>
        <v>-27827.551187406661</v>
      </c>
    </row>
    <row r="396" spans="9:12" s="2" customFormat="1" x14ac:dyDescent="0.35">
      <c r="I396" s="47">
        <f t="shared" si="24"/>
        <v>-27827.551187406661</v>
      </c>
      <c r="J396" s="5">
        <f t="shared" si="25"/>
        <v>-177.40063881971744</v>
      </c>
      <c r="K396" s="47">
        <f t="shared" si="26"/>
        <v>-1773.7858123854903</v>
      </c>
      <c r="L396" s="47">
        <f t="shared" si="27"/>
        <v>-29778.737638611867</v>
      </c>
    </row>
    <row r="397" spans="9:12" s="2" customFormat="1" x14ac:dyDescent="0.35">
      <c r="I397" s="47">
        <f t="shared" si="24"/>
        <v>-29778.737638611867</v>
      </c>
      <c r="J397" s="5">
        <f t="shared" si="25"/>
        <v>-189.83945244615063</v>
      </c>
      <c r="K397" s="47">
        <f t="shared" si="26"/>
        <v>-1773.7858123854903</v>
      </c>
      <c r="L397" s="47">
        <f t="shared" si="27"/>
        <v>-31742.362903443507</v>
      </c>
    </row>
    <row r="398" spans="9:12" s="2" customFormat="1" x14ac:dyDescent="0.35">
      <c r="I398" s="47">
        <f t="shared" si="24"/>
        <v>-31742.362903443507</v>
      </c>
      <c r="J398" s="5">
        <f t="shared" si="25"/>
        <v>-202.35756350945235</v>
      </c>
      <c r="K398" s="47">
        <f t="shared" si="26"/>
        <v>-1773.7858123854903</v>
      </c>
      <c r="L398" s="47">
        <f t="shared" si="27"/>
        <v>-33718.50627933845</v>
      </c>
    </row>
    <row r="399" spans="9:12" s="2" customFormat="1" x14ac:dyDescent="0.35">
      <c r="I399" s="47">
        <f t="shared" si="24"/>
        <v>-33718.50627933845</v>
      </c>
      <c r="J399" s="5">
        <f t="shared" si="25"/>
        <v>-214.95547753078259</v>
      </c>
      <c r="K399" s="47">
        <f t="shared" si="26"/>
        <v>-1773.7858123854903</v>
      </c>
      <c r="L399" s="47">
        <f t="shared" si="27"/>
        <v>-35707.247569254723</v>
      </c>
    </row>
  </sheetData>
  <hyperlinks>
    <hyperlink ref="A4" r:id="rId1" display="https://www.wsj.com/buyside/personal-finance/mortgage-rates-by-credit-score-287bb3d8"/>
    <hyperlink ref="B4" r:id="rId2" display="https://www.wsj.com/buyside/personal-finance/mortgage-rates-by-credit-score-287bb3d8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Compound Interest</vt:lpstr>
      <vt:lpstr>Annuities</vt:lpstr>
      <vt:lpstr>CarLoan</vt:lpstr>
      <vt:lpstr>HouseLoan</vt:lpstr>
    </vt:vector>
  </TitlesOfParts>
  <Company>Bryant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2023-08-28T13:30:50Z</dcterms:created>
  <dcterms:modified xsi:type="dcterms:W3CDTF">2023-08-28T13:32:12Z</dcterms:modified>
</cp:coreProperties>
</file>