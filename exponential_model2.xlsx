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8_{9772FB97-3247-425F-966C-9FC09183036C}" xr6:coauthVersionLast="47" xr6:coauthVersionMax="47" xr10:uidLastSave="{00000000-0000-0000-0000-000000000000}"/>
  <bookViews>
    <workbookView xWindow="-120" yWindow="-120" windowWidth="29040" windowHeight="16440" activeTab="2" xr2:uid="{46652190-C132-4E4D-91D3-35CA8EAA69DC}"/>
  </bookViews>
  <sheets>
    <sheet name="exponential" sheetId="1" r:id="rId1"/>
    <sheet name="exponential vs. linear" sheetId="2" r:id="rId2"/>
    <sheet name="Assignment 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2" l="1"/>
  <c r="R5" i="2"/>
  <c r="R6" i="2"/>
  <c r="R7" i="2"/>
  <c r="R8" i="2"/>
  <c r="R4" i="2"/>
  <c r="Q5" i="2"/>
  <c r="Q6" i="2"/>
  <c r="Q7" i="2"/>
  <c r="Q8" i="2"/>
  <c r="Q4" i="2"/>
  <c r="P5" i="2"/>
  <c r="P6" i="2"/>
  <c r="P7" i="2"/>
  <c r="P8" i="2"/>
  <c r="P4" i="2"/>
  <c r="L10" i="2"/>
  <c r="L5" i="2"/>
  <c r="L6" i="2"/>
  <c r="L7" i="2"/>
  <c r="L8" i="2"/>
  <c r="L4" i="2"/>
  <c r="K5" i="2"/>
  <c r="K6" i="2"/>
  <c r="K7" i="2"/>
  <c r="K8" i="2"/>
  <c r="K4" i="2"/>
  <c r="J5" i="2"/>
  <c r="J6" i="2"/>
  <c r="J7" i="2"/>
  <c r="J8" i="2"/>
  <c r="J4" i="2"/>
  <c r="I13" i="2"/>
  <c r="H5" i="2"/>
  <c r="H6" i="2"/>
  <c r="H7" i="2"/>
  <c r="H8" i="2"/>
  <c r="H4" i="2"/>
  <c r="C6" i="2"/>
  <c r="C7" i="2"/>
  <c r="C8" i="2"/>
  <c r="C5" i="2"/>
  <c r="B21" i="1"/>
  <c r="B16" i="1"/>
  <c r="C6" i="1"/>
  <c r="C7" i="1"/>
  <c r="C8" i="1"/>
  <c r="C5" i="1"/>
</calcChain>
</file>

<file path=xl/sharedStrings.xml><?xml version="1.0" encoding="utf-8"?>
<sst xmlns="http://schemas.openxmlformats.org/spreadsheetml/2006/main" count="38" uniqueCount="27">
  <si>
    <t>Data Modeling using Exponential Function</t>
  </si>
  <si>
    <t>t</t>
  </si>
  <si>
    <t>D</t>
  </si>
  <si>
    <t>D ratio</t>
  </si>
  <si>
    <t>a</t>
  </si>
  <si>
    <t>k</t>
  </si>
  <si>
    <t>e</t>
  </si>
  <si>
    <t>When D is 1? When t reaches 16, D passes 1.</t>
  </si>
  <si>
    <t>Assignment 8. Use Excel to do this problem.</t>
  </si>
  <si>
    <t>Make the exponential graph.</t>
  </si>
  <si>
    <t>Year</t>
  </si>
  <si>
    <t>Pop</t>
  </si>
  <si>
    <t>Data 1</t>
  </si>
  <si>
    <t>Estimated Pop</t>
  </si>
  <si>
    <t xml:space="preserve">e </t>
  </si>
  <si>
    <t>Error</t>
  </si>
  <si>
    <t>Absolute Error</t>
  </si>
  <si>
    <t>Mean 
Absolute Error</t>
  </si>
  <si>
    <t>Data 2 (Exponential)</t>
  </si>
  <si>
    <t>Data 3 (Linear)</t>
  </si>
  <si>
    <t>Mean
 Absolute Error</t>
  </si>
  <si>
    <t>Exponential Model is better because it gives a smaller MAE.</t>
  </si>
  <si>
    <t>Assignment 9</t>
  </si>
  <si>
    <t>Make sure you use Excel for all the calculation.</t>
  </si>
  <si>
    <t xml:space="preserve">1. Model the data using Exponential Function and calculate the MAE of the model.  </t>
  </si>
  <si>
    <t xml:space="preserve">2. Model the data using Linear Function and calculate the MAE of the model.  </t>
  </si>
  <si>
    <t>3. Compare the two models to decide the best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</si>
</sst>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3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wrapText="1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exponential!$B$3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8.7393482064741901E-2"/>
                  <c:y val="-0.516179279673374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exponential!$A$4:$A$8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exponential!$B$4:$B$8</c:f>
              <c:numCache>
                <c:formatCode>General</c:formatCode>
                <c:ptCount val="5"/>
                <c:pt idx="0">
                  <c:v>32</c:v>
                </c:pt>
                <c:pt idx="1">
                  <c:v>25.6</c:v>
                </c:pt>
                <c:pt idx="2">
                  <c:v>20.48</c:v>
                </c:pt>
                <c:pt idx="3">
                  <c:v>16.38</c:v>
                </c:pt>
                <c:pt idx="4">
                  <c:v>13.11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63-4FA2-9B3E-41589AF7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42240"/>
        <c:axId val="68547824"/>
      </c:scatterChart>
      <c:valAx>
        <c:axId val="110054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7824"/>
        <c:crosses val="autoZero"/>
        <c:crossBetween val="midCat"/>
      </c:valAx>
      <c:valAx>
        <c:axId val="685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54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linear'!$B$3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7.7987751531058622E-3"/>
                  <c:y val="-0.125416666666666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linear'!$A$4:$A$8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xVal>
          <c:yVal>
            <c:numRef>
              <c:f>'exponential vs. linear'!$B$4:$B$8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D-4ABE-8436-23BAFCDB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834192"/>
        <c:axId val="269586464"/>
      </c:scatterChart>
      <c:valAx>
        <c:axId val="24983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586464"/>
        <c:crosses val="autoZero"/>
        <c:crossBetween val="midCat"/>
      </c:valAx>
      <c:valAx>
        <c:axId val="2695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3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linear'!$I$3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9027985632021943E-2"/>
                  <c:y val="-0.122329376022609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linear'!$H$4:$H$8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'exponential vs. linear'!$I$4:$I$8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C-4096-A352-91DE91F3D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9904"/>
        <c:axId val="261670992"/>
      </c:scatterChart>
      <c:valAx>
        <c:axId val="6923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670992"/>
        <c:crosses val="autoZero"/>
        <c:crossBetween val="midCat"/>
      </c:valAx>
      <c:valAx>
        <c:axId val="2616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'exponential vs. linear'!$O$3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709807887289078E-2"/>
                  <c:y val="-0.184884882075973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'exponential vs. linear'!$N$4:$N$8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'exponential vs. linear'!$O$4:$O$8</c:f>
              <c:numCache>
                <c:formatCode>General</c:formatCode>
                <c:ptCount val="5"/>
                <c:pt idx="0">
                  <c:v>2.2999999999999998</c:v>
                </c:pt>
                <c:pt idx="1">
                  <c:v>2.5099999999999998</c:v>
                </c:pt>
                <c:pt idx="2">
                  <c:v>2.73</c:v>
                </c:pt>
                <c:pt idx="3">
                  <c:v>2.98</c:v>
                </c:pt>
                <c:pt idx="4">
                  <c:v>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D0-4AF7-98F6-E39574F0D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3824"/>
        <c:axId val="741448576"/>
      </c:scatterChart>
      <c:valAx>
        <c:axId val="692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48576"/>
        <c:crosses val="autoZero"/>
        <c:crossBetween val="midCat"/>
      </c:valAx>
      <c:valAx>
        <c:axId val="7414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595311</xdr:colOff>
      <xdr:row>0</xdr:row>
      <xdr:rowOff>161925</xdr:rowOff>
    </xdr:from>
    <xdr:to>
      <xdr:col>10</xdr:col>
      <xdr:colOff>590550</xdr:colOff>
      <xdr:row>13</xdr:row>
      <xdr:rowOff>109538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564B8D-508F-56D2-EC36-FE50A6EDF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428625</xdr:colOff>
      <xdr:row>4</xdr:row>
      <xdr:rowOff>85725</xdr:rowOff>
    </xdr:from>
    <xdr:to>
      <xdr:col>19</xdr:col>
      <xdr:colOff>619164</xdr:colOff>
      <xdr:row>18</xdr:row>
      <xdr:rowOff>133369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848A65-305C-192C-D06A-DEE2CF76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53325" y="809625"/>
          <a:ext cx="5372139" cy="258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26</xdr:row>
      <xdr:rowOff>47625</xdr:rowOff>
    </xdr:from>
    <xdr:to>
      <xdr:col>3</xdr:col>
      <xdr:colOff>609907</xdr:colOff>
      <xdr:row>36</xdr:row>
      <xdr:rowOff>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48B82-7410-601F-9B79-38924C189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752975"/>
          <a:ext cx="2200582" cy="1762371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10</xdr:row>
      <xdr:rowOff>66674</xdr:rowOff>
    </xdr:from>
    <xdr:to>
      <xdr:col>5</xdr:col>
      <xdr:colOff>66675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DB2C7F-E5C0-926F-0860-F30A64FC0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361949</xdr:colOff>
      <xdr:row>17</xdr:row>
      <xdr:rowOff>76200</xdr:rowOff>
    </xdr:from>
    <xdr:to>
      <xdr:col>11</xdr:col>
      <xdr:colOff>685801</xdr:colOff>
      <xdr:row>29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5C167C-EDD4-66B5-6C84-89A9E576A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19050</xdr:colOff>
      <xdr:row>14</xdr:row>
      <xdr:rowOff>85725</xdr:rowOff>
    </xdr:from>
    <xdr:to>
      <xdr:col>9</xdr:col>
      <xdr:colOff>152353</xdr:colOff>
      <xdr:row>16</xdr:row>
      <xdr:rowOff>133480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06C1CB-D301-E1A7-2167-92DA11FF7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950" y="2619375"/>
          <a:ext cx="1428703" cy="409705"/>
        </a:xfrm>
        <a:prstGeom prst="rect">
          <a:avLst/>
        </a:prstGeom>
      </xdr:spPr>
    </xdr:pic>
    <xdr:clientData/>
  </xdr:twoCellAnchor>
  <xdr:twoCellAnchor>
    <xdr:from>
      <xdr:col>13</xdr:col>
      <xdr:colOff>142874</xdr:colOff>
      <xdr:row>17</xdr:row>
      <xdr:rowOff>57150</xdr:rowOff>
    </xdr:from>
    <xdr:to>
      <xdr:col>18</xdr:col>
      <xdr:colOff>409575</xdr:colOff>
      <xdr:row>28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94D2DF-D670-4652-EA8F-AFA38CA7B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123825</xdr:rowOff>
    </xdr:from>
    <xdr:to>
      <xdr:col>5</xdr:col>
      <xdr:colOff>590978</xdr:colOff>
      <xdr:row>16</xdr:row>
      <xdr:rowOff>95625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52530-B31F-4F52-B9BA-36B79D03E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04800"/>
          <a:ext cx="3067478" cy="268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04B7-6BC8-421E-9AC8-8272EDF0B3C4}">
  <dimension ref="A1:M23"/>
  <sheetViews>
    <sheetView workbookViewId="0">
      <selection activeCell="J17" sqref="J17"/>
    </sheetView>
  </sheetViews>
  <sheetFormatPr defaultRowHeight="14.25" x14ac:dyDescent="0.45"/>
  <sheetData>
    <row r="1" spans="1:13" x14ac:dyDescent="0.45">
      <c r="A1" t="s">
        <v>0</v>
      </c>
    </row>
    <row r="3" spans="1:13" x14ac:dyDescent="0.45">
      <c r="A3" s="1" t="s">
        <v>1</v>
      </c>
      <c r="B3" s="1" t="s">
        <v>2</v>
      </c>
      <c r="C3" s="2" t="s">
        <v>3</v>
      </c>
      <c r="M3" s="4" t="s">
        <v>8</v>
      </c>
    </row>
    <row r="4" spans="1:13" x14ac:dyDescent="0.45">
      <c r="A4" s="2">
        <v>0</v>
      </c>
      <c r="B4" s="2">
        <v>32</v>
      </c>
      <c r="C4" s="3"/>
    </row>
    <row r="5" spans="1:13" x14ac:dyDescent="0.45">
      <c r="A5" s="2">
        <v>1</v>
      </c>
      <c r="B5" s="2">
        <v>25.6</v>
      </c>
      <c r="C5" s="3">
        <f>ROUND(B5/B4,2)</f>
        <v>0.8</v>
      </c>
    </row>
    <row r="6" spans="1:13" x14ac:dyDescent="0.45">
      <c r="A6" s="2">
        <v>2</v>
      </c>
      <c r="B6" s="2">
        <v>20.48</v>
      </c>
      <c r="C6" s="3">
        <f t="shared" ref="C6:C8" si="0">ROUND(B6/B5,2)</f>
        <v>0.8</v>
      </c>
    </row>
    <row r="7" spans="1:13" x14ac:dyDescent="0.45">
      <c r="A7" s="2">
        <v>3</v>
      </c>
      <c r="B7" s="2">
        <v>16.38</v>
      </c>
      <c r="C7" s="3">
        <f t="shared" si="0"/>
        <v>0.8</v>
      </c>
    </row>
    <row r="8" spans="1:13" x14ac:dyDescent="0.45">
      <c r="A8" s="2">
        <v>4</v>
      </c>
      <c r="B8" s="2">
        <v>13.11</v>
      </c>
      <c r="C8" s="3">
        <f t="shared" si="0"/>
        <v>0.8</v>
      </c>
    </row>
    <row r="14" spans="1:13" x14ac:dyDescent="0.45">
      <c r="A14" t="s">
        <v>4</v>
      </c>
      <c r="B14">
        <v>32</v>
      </c>
    </row>
    <row r="15" spans="1:13" x14ac:dyDescent="0.45">
      <c r="A15" t="s">
        <v>5</v>
      </c>
      <c r="B15">
        <v>-0.223</v>
      </c>
    </row>
    <row r="16" spans="1:13" x14ac:dyDescent="0.45">
      <c r="A16" t="s">
        <v>6</v>
      </c>
      <c r="B16">
        <f>EXP(1)</f>
        <v>2.7182818284590451</v>
      </c>
    </row>
    <row r="20" spans="1:13" x14ac:dyDescent="0.45">
      <c r="A20" t="s">
        <v>1</v>
      </c>
      <c r="B20">
        <v>16</v>
      </c>
    </row>
    <row r="21" spans="1:13" x14ac:dyDescent="0.45">
      <c r="A21" t="s">
        <v>2</v>
      </c>
      <c r="B21">
        <f>B14*B16^(B15*B20)</f>
        <v>0.90279109558169535</v>
      </c>
      <c r="M21" s="5" t="s">
        <v>9</v>
      </c>
    </row>
    <row r="23" spans="1:13" x14ac:dyDescent="0.45">
      <c r="A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83E3-2F97-478A-B00B-11BB6634A4B0}">
  <dimension ref="A1:R31"/>
  <sheetViews>
    <sheetView zoomScaleNormal="100" workbookViewId="0">
      <selection activeCell="H31" sqref="H31"/>
    </sheetView>
  </sheetViews>
  <sheetFormatPr defaultRowHeight="14.25" x14ac:dyDescent="0.45"/>
  <cols>
    <col min="10" max="10" width="13.46484375" customWidth="1"/>
    <col min="12" max="12" width="12.6640625" customWidth="1"/>
    <col min="16" max="16" width="12.9296875" customWidth="1"/>
    <col min="18" max="18" width="14.3984375" customWidth="1"/>
  </cols>
  <sheetData>
    <row r="1" spans="1:18" x14ac:dyDescent="0.45">
      <c r="A1" t="s">
        <v>12</v>
      </c>
      <c r="H1" t="s">
        <v>18</v>
      </c>
      <c r="N1" t="s">
        <v>19</v>
      </c>
    </row>
    <row r="3" spans="1:18" x14ac:dyDescent="0.45">
      <c r="A3" s="1" t="s">
        <v>10</v>
      </c>
      <c r="B3" s="1" t="s">
        <v>11</v>
      </c>
      <c r="H3" s="6" t="s">
        <v>10</v>
      </c>
      <c r="I3" s="6" t="s">
        <v>11</v>
      </c>
      <c r="J3" s="7" t="s">
        <v>13</v>
      </c>
      <c r="K3" s="7" t="s">
        <v>15</v>
      </c>
      <c r="L3" s="7" t="s">
        <v>16</v>
      </c>
      <c r="N3" s="11" t="s">
        <v>10</v>
      </c>
      <c r="O3" s="11" t="s">
        <v>11</v>
      </c>
      <c r="P3" s="11" t="s">
        <v>13</v>
      </c>
      <c r="Q3" s="11" t="s">
        <v>15</v>
      </c>
      <c r="R3" s="11" t="s">
        <v>16</v>
      </c>
    </row>
    <row r="4" spans="1:18" x14ac:dyDescent="0.45">
      <c r="A4" s="3">
        <v>2012</v>
      </c>
      <c r="B4" s="3">
        <v>2.2999999999999998</v>
      </c>
      <c r="H4" s="8">
        <f>A4-2012</f>
        <v>0</v>
      </c>
      <c r="I4" s="8">
        <v>2.2999999999999998</v>
      </c>
      <c r="J4" s="8">
        <f>$I$12*$I$13^($I$14*H4)</f>
        <v>2.3001999999999998</v>
      </c>
      <c r="K4" s="8">
        <f>I4-J4</f>
        <v>-1.9999999999997797E-4</v>
      </c>
      <c r="L4" s="8">
        <f>ABS(K4)</f>
        <v>1.9999999999997797E-4</v>
      </c>
      <c r="N4" s="11">
        <v>0</v>
      </c>
      <c r="O4" s="11">
        <v>2.2999999999999998</v>
      </c>
      <c r="P4" s="11">
        <f>0.237*N4+2.28</f>
        <v>2.2799999999999998</v>
      </c>
      <c r="Q4" s="11">
        <f>O4-P4</f>
        <v>2.0000000000000018E-2</v>
      </c>
      <c r="R4" s="11">
        <f>ABS(Q4)</f>
        <v>2.0000000000000018E-2</v>
      </c>
    </row>
    <row r="5" spans="1:18" x14ac:dyDescent="0.45">
      <c r="A5" s="3">
        <v>2013</v>
      </c>
      <c r="B5" s="3">
        <v>2.5099999999999998</v>
      </c>
      <c r="C5">
        <f>B5/B4</f>
        <v>1.0913043478260869</v>
      </c>
      <c r="H5" s="8">
        <f>A5-2012</f>
        <v>1</v>
      </c>
      <c r="I5" s="8">
        <v>2.5099999999999998</v>
      </c>
      <c r="J5" s="8">
        <f t="shared" ref="J5:J8" si="0">$I$12*$I$13^($I$14*H5)</f>
        <v>2.5075246609384116</v>
      </c>
      <c r="K5" s="8">
        <f t="shared" ref="K5:K8" si="1">I5-J5</f>
        <v>2.4753390615881443E-3</v>
      </c>
      <c r="L5" s="8">
        <f t="shared" ref="L5:L8" si="2">ABS(K5)</f>
        <v>2.4753390615881443E-3</v>
      </c>
      <c r="N5" s="11">
        <v>1</v>
      </c>
      <c r="O5" s="11">
        <v>2.5099999999999998</v>
      </c>
      <c r="P5" s="11">
        <f t="shared" ref="P5:P8" si="3">0.237*N5+2.28</f>
        <v>2.5169999999999999</v>
      </c>
      <c r="Q5" s="11">
        <f t="shared" ref="Q5:Q8" si="4">O5-P5</f>
        <v>-7.0000000000001172E-3</v>
      </c>
      <c r="R5" s="11">
        <f t="shared" ref="R5:R8" si="5">ABS(Q5)</f>
        <v>7.0000000000001172E-3</v>
      </c>
    </row>
    <row r="6" spans="1:18" x14ac:dyDescent="0.45">
      <c r="A6" s="3">
        <v>2014</v>
      </c>
      <c r="B6" s="3">
        <v>2.73</v>
      </c>
      <c r="C6">
        <f t="shared" ref="C6:C8" si="6">B6/B5</f>
        <v>1.0876494023904384</v>
      </c>
      <c r="H6" s="8">
        <f>A6-2012</f>
        <v>2</v>
      </c>
      <c r="I6" s="8">
        <v>2.73</v>
      </c>
      <c r="J6" s="8">
        <f t="shared" si="0"/>
        <v>2.7335361817295438</v>
      </c>
      <c r="K6" s="8">
        <f t="shared" si="1"/>
        <v>-3.5361817295438414E-3</v>
      </c>
      <c r="L6" s="8">
        <f t="shared" si="2"/>
        <v>3.5361817295438414E-3</v>
      </c>
      <c r="N6" s="11">
        <v>2</v>
      </c>
      <c r="O6" s="11">
        <v>2.73</v>
      </c>
      <c r="P6" s="11">
        <f t="shared" si="3"/>
        <v>2.7539999999999996</v>
      </c>
      <c r="Q6" s="11">
        <f t="shared" si="4"/>
        <v>-2.3999999999999577E-2</v>
      </c>
      <c r="R6" s="11">
        <f t="shared" si="5"/>
        <v>2.3999999999999577E-2</v>
      </c>
    </row>
    <row r="7" spans="1:18" x14ac:dyDescent="0.45">
      <c r="A7" s="3">
        <v>2015</v>
      </c>
      <c r="B7" s="3">
        <v>2.98</v>
      </c>
      <c r="C7">
        <f t="shared" si="6"/>
        <v>1.0915750915750915</v>
      </c>
      <c r="H7" s="8">
        <f>A7-2012</f>
        <v>3</v>
      </c>
      <c r="I7" s="8">
        <v>2.98</v>
      </c>
      <c r="J7" s="8">
        <f t="shared" si="0"/>
        <v>2.979918871078278</v>
      </c>
      <c r="K7" s="8">
        <f t="shared" si="1"/>
        <v>8.1128921721962399E-5</v>
      </c>
      <c r="L7" s="8">
        <f t="shared" si="2"/>
        <v>8.1128921721962399E-5</v>
      </c>
      <c r="N7" s="11">
        <v>3</v>
      </c>
      <c r="O7" s="11">
        <v>2.98</v>
      </c>
      <c r="P7" s="11">
        <f t="shared" si="3"/>
        <v>2.9909999999999997</v>
      </c>
      <c r="Q7" s="11">
        <f t="shared" si="4"/>
        <v>-1.0999999999999677E-2</v>
      </c>
      <c r="R7" s="11">
        <f t="shared" si="5"/>
        <v>1.0999999999999677E-2</v>
      </c>
    </row>
    <row r="8" spans="1:18" x14ac:dyDescent="0.45">
      <c r="A8" s="3">
        <v>2016</v>
      </c>
      <c r="B8" s="3">
        <v>3.25</v>
      </c>
      <c r="C8">
        <f t="shared" si="6"/>
        <v>1.0906040268456376</v>
      </c>
      <c r="H8" s="8">
        <f>A8-2012</f>
        <v>4</v>
      </c>
      <c r="I8" s="8">
        <v>3.25</v>
      </c>
      <c r="J8" s="8">
        <f t="shared" si="0"/>
        <v>3.248508850023708</v>
      </c>
      <c r="K8" s="8">
        <f t="shared" si="1"/>
        <v>1.4911499762919611E-3</v>
      </c>
      <c r="L8" s="8">
        <f t="shared" si="2"/>
        <v>1.4911499762919611E-3</v>
      </c>
      <c r="N8" s="11">
        <v>4</v>
      </c>
      <c r="O8" s="11">
        <v>3.25</v>
      </c>
      <c r="P8" s="11">
        <f t="shared" si="3"/>
        <v>3.2279999999999998</v>
      </c>
      <c r="Q8" s="11">
        <f t="shared" si="4"/>
        <v>2.2000000000000242E-2</v>
      </c>
      <c r="R8" s="11">
        <f t="shared" si="5"/>
        <v>2.2000000000000242E-2</v>
      </c>
    </row>
    <row r="9" spans="1:18" x14ac:dyDescent="0.45">
      <c r="H9" s="9"/>
      <c r="I9" s="9"/>
      <c r="J9" s="9"/>
      <c r="K9" s="9"/>
      <c r="L9" s="9"/>
      <c r="N9" s="12"/>
      <c r="O9" s="12"/>
      <c r="P9" s="12"/>
      <c r="Q9" s="12"/>
      <c r="R9" s="12"/>
    </row>
    <row r="10" spans="1:18" ht="42.75" x14ac:dyDescent="0.45">
      <c r="H10" s="9"/>
      <c r="I10" s="9"/>
      <c r="J10" s="9"/>
      <c r="K10" s="10" t="s">
        <v>17</v>
      </c>
      <c r="L10" s="9">
        <f>AVERAGE(L4:L8)</f>
        <v>1.5567599378291774E-3</v>
      </c>
      <c r="N10" s="12"/>
      <c r="O10" s="12"/>
      <c r="P10" s="12"/>
      <c r="Q10" s="13" t="s">
        <v>20</v>
      </c>
      <c r="R10" s="12">
        <f>AVERAGE(R4:R8)</f>
        <v>1.6799999999999926E-2</v>
      </c>
    </row>
    <row r="12" spans="1:18" x14ac:dyDescent="0.45">
      <c r="H12" t="s">
        <v>4</v>
      </c>
      <c r="I12">
        <v>2.3001999999999998</v>
      </c>
    </row>
    <row r="13" spans="1:18" x14ac:dyDescent="0.45">
      <c r="H13" t="s">
        <v>14</v>
      </c>
      <c r="I13">
        <f>EXP(1)</f>
        <v>2.7182818284590451</v>
      </c>
    </row>
    <row r="14" spans="1:18" x14ac:dyDescent="0.45">
      <c r="H14" t="s">
        <v>5</v>
      </c>
      <c r="I14">
        <v>8.6300000000000002E-2</v>
      </c>
    </row>
    <row r="31" spans="8:8" x14ac:dyDescent="0.45">
      <c r="H31" s="5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A95F-ECC0-46CD-876B-3E9BF4424E7B}">
  <dimension ref="B1:F22"/>
  <sheetViews>
    <sheetView tabSelected="1" workbookViewId="0">
      <selection activeCell="B24" sqref="B24"/>
    </sheetView>
  </sheetViews>
  <sheetFormatPr defaultRowHeight="14.25" x14ac:dyDescent="0.45"/>
  <sheetData>
    <row r="1" spans="2:2" x14ac:dyDescent="0.45">
      <c r="B1" s="4" t="s">
        <v>22</v>
      </c>
    </row>
    <row r="18" spans="2:6" x14ac:dyDescent="0.45">
      <c r="B18" s="5" t="s">
        <v>23</v>
      </c>
      <c r="C18" s="5"/>
      <c r="D18" s="5"/>
      <c r="E18" s="5"/>
      <c r="F18" s="5"/>
    </row>
    <row r="19" spans="2:6" x14ac:dyDescent="0.45">
      <c r="B19" s="5"/>
      <c r="C19" s="5"/>
      <c r="D19" s="5"/>
      <c r="E19" s="5"/>
      <c r="F19" s="5"/>
    </row>
    <row r="20" spans="2:6" x14ac:dyDescent="0.45">
      <c r="B20" s="5" t="s">
        <v>24</v>
      </c>
      <c r="C20" s="5"/>
      <c r="D20" s="5"/>
      <c r="E20" s="5"/>
      <c r="F20" s="5"/>
    </row>
    <row r="21" spans="2:6" x14ac:dyDescent="0.45">
      <c r="B21" s="5" t="s">
        <v>25</v>
      </c>
      <c r="C21" s="5"/>
      <c r="D21" s="5"/>
      <c r="E21" s="5"/>
      <c r="F21" s="5"/>
    </row>
    <row r="22" spans="2:6" x14ac:dyDescent="0.45">
      <c r="B22" s="5" t="s">
        <v>26</v>
      </c>
      <c r="C22" s="5"/>
      <c r="D22" s="5"/>
      <c r="E22" s="5"/>
      <c r="F2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exponential</vt:lpstr>
      <vt:lpstr>exponential vs. linear</vt:lpstr>
      <vt:lpstr>Assignment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2024-01-06T14:37:42Z</dcterms:created>
  <dcterms:modified xsi:type="dcterms:W3CDTF">2024-01-06T15:49:24Z</dcterms:modified>
</cp:coreProperties>
</file>